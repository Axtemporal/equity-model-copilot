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 Financials" sheetId="2" state="visible" r:id="rId2"/>
    <sheet xmlns:r="http://schemas.openxmlformats.org/officeDocument/2006/relationships" name="Input Operational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.0;(#,##0.0);&quot;-&quot;"/>
    <numFmt numFmtId="167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bottom style="thin">
        <color rgb="009DC3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5" fillId="2" borderId="0" pivotButton="0" quotePrefix="0" xfId="0"/>
    <xf numFmtId="165" fontId="6" fillId="0" borderId="0" pivotButton="0" quotePrefix="0" xfId="0"/>
    <xf numFmtId="165" fontId="5" fillId="2" borderId="0" pivotButton="0" quotePrefix="0" xfId="0"/>
    <xf numFmtId="166" fontId="6" fillId="0" borderId="0" pivotButton="0" quotePrefix="0" xfId="0"/>
    <xf numFmtId="166" fontId="5" fillId="2" borderId="0" pivotButton="0" quotePrefix="0" xfId="0"/>
    <xf numFmtId="164" fontId="5" fillId="0" borderId="0" pivotButton="0" quotePrefix="0" xfId="0"/>
    <xf numFmtId="0" fontId="6" fillId="0" borderId="0" pivotButton="0" quotePrefix="0" xfId="0"/>
    <xf numFmtId="166" fontId="5" fillId="0" borderId="0" pivotButton="0" quotePrefix="0" xfId="0"/>
    <xf numFmtId="167" fontId="6" fillId="0" borderId="0" pivotButton="0" quotePrefix="0" xfId="0"/>
    <xf numFmtId="167" fontId="5" fillId="2" borderId="0" pivotButton="0" quotePrefix="0" xfId="0"/>
    <xf numFmtId="166" fontId="0" fillId="4" borderId="0" pivotButton="0" quotePrefix="0" xfId="0"/>
    <xf numFmtId="166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engine</author>
  </authors>
  <commentList>
    <comment ref="B57" authorId="0" shapeId="0">
      <text>
        <t>Must be zero in every populated column.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PRIO — Input workbook (Oil &amp; Gas template)</t>
        </is>
      </c>
    </row>
    <row r="3">
      <c r="B3" s="2" t="inlineStr">
        <is>
          <t>Generated by engine/build_input_template.py. Version 0.1, 10/06/2026.</t>
        </is>
      </c>
    </row>
    <row r="4">
      <c r="B4" s="3" t="inlineStr"/>
    </row>
    <row r="5">
      <c r="B5" s="4" t="inlineStr">
        <is>
          <t>HOW TO FILL IN</t>
        </is>
      </c>
    </row>
    <row r="6">
      <c r="B6" s="3" t="inlineStr">
        <is>
          <t>1. Type only in the blue cells, copying the numbers as reported (release, ITR/DFP).</t>
        </is>
      </c>
    </row>
    <row r="7">
      <c r="B7" s="3" t="inlineStr">
        <is>
          <t>2. Quarter columns are input; the year column closes the block and calculates itself (sum for flows, 4Q for balances, simple average for prices and rates).</t>
        </is>
      </c>
    </row>
    <row r="8">
      <c r="B8" s="3" t="inlineStr">
        <is>
          <t>3. Older years without quarterly breakdown: overwrite the annual cell with the reported value (it becomes blue/hardcode, an accepted and documented practice).</t>
        </is>
      </c>
    </row>
    <row r="9">
      <c r="B9" s="3" t="inlineStr">
        <is>
          <t>4. Expenses and costs are entered with a negative sign. Revenues positive (sign convention 1).</t>
        </is>
      </c>
    </row>
    <row r="10">
      <c r="B10" s="3" t="inlineStr">
        <is>
          <t>5. Input Operational tab: name the assets in the ASSET SETUP block; the labels of the per-asset blocks update automatically. Unused assets stay blank.</t>
        </is>
      </c>
    </row>
    <row r="11">
      <c r="B11" s="3" t="inlineStr">
        <is>
          <t>6. Data the company does not disclose: leave blank. The AI will map the gaps and propose an estimation method for your approval (never enter an estimate as if it were reported).</t>
        </is>
      </c>
    </row>
    <row r="12">
      <c r="B12" s="3" t="inlineStr"/>
    </row>
    <row r="13">
      <c r="B13" s="4" t="inlineStr">
        <is>
          <t>COLOR LEGEND</t>
        </is>
      </c>
    </row>
    <row r="14">
      <c r="B14" s="3" t="inlineStr">
        <is>
          <t>Blue = input/hardcode  |  Black = formula  |  Green = link between tabs  |  Light gray = annual column  |  Dark gray = not applicable</t>
        </is>
      </c>
    </row>
    <row r="15">
      <c r="B15" s="3" t="inlineStr"/>
    </row>
    <row r="16">
      <c r="B16" s="4" t="inlineStr">
        <is>
          <t>COMPLIANCE</t>
        </is>
      </c>
    </row>
    <row r="17">
      <c r="B17" s="3" t="inlineStr">
        <is>
          <t>Public sources only. Every estimate will be labeled with method and source in the Assumptions tab. This material does not constitute an investment recommendation.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BB7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</cols>
  <sheetData>
    <row r="1">
      <c r="B1" s="5" t="inlineStr">
        <is>
          <t>SYNTH — FICTITIOUS DATA FOR ENGINE TESTING (not PRIO)</t>
        </is>
      </c>
    </row>
    <row r="2">
      <c r="B2" s="6" t="inlineStr">
        <is>
          <t>Financial history as reported (IFRS). Manual entry in the blue cells.</t>
        </is>
      </c>
    </row>
    <row r="3">
      <c r="B3" s="6" t="inlineStr">
        <is>
          <t>Currency: USD mn unless noted (confirm reporting currency)  |  Sign convention: revenues (+), expenses (−)  |  Blue = input, black = formula</t>
        </is>
      </c>
    </row>
    <row r="5">
      <c r="B5" s="7" t="inlineStr">
        <is>
          <t>Line item</t>
        </is>
      </c>
      <c r="C5" s="7" t="inlineStr">
        <is>
          <t>Unit</t>
        </is>
      </c>
      <c r="D5" s="8" t="inlineStr">
        <is>
          <t>1Q16</t>
        </is>
      </c>
      <c r="E5" s="8" t="inlineStr">
        <is>
          <t>2Q16</t>
        </is>
      </c>
      <c r="F5" s="8" t="inlineStr">
        <is>
          <t>3Q16</t>
        </is>
      </c>
      <c r="G5" s="8" t="inlineStr">
        <is>
          <t>4Q16</t>
        </is>
      </c>
      <c r="H5" s="9" t="inlineStr">
        <is>
          <t>2016</t>
        </is>
      </c>
      <c r="I5" s="8" t="inlineStr">
        <is>
          <t>1Q17</t>
        </is>
      </c>
      <c r="J5" s="8" t="inlineStr">
        <is>
          <t>2Q17</t>
        </is>
      </c>
      <c r="K5" s="8" t="inlineStr">
        <is>
          <t>3Q17</t>
        </is>
      </c>
      <c r="L5" s="8" t="inlineStr">
        <is>
          <t>4Q17</t>
        </is>
      </c>
      <c r="M5" s="9" t="inlineStr">
        <is>
          <t>2017</t>
        </is>
      </c>
      <c r="N5" s="8" t="inlineStr">
        <is>
          <t>1Q18</t>
        </is>
      </c>
      <c r="O5" s="8" t="inlineStr">
        <is>
          <t>2Q18</t>
        </is>
      </c>
      <c r="P5" s="8" t="inlineStr">
        <is>
          <t>3Q18</t>
        </is>
      </c>
      <c r="Q5" s="8" t="inlineStr">
        <is>
          <t>4Q18</t>
        </is>
      </c>
      <c r="R5" s="9" t="inlineStr">
        <is>
          <t>2018</t>
        </is>
      </c>
      <c r="S5" s="8" t="inlineStr">
        <is>
          <t>1Q19</t>
        </is>
      </c>
      <c r="T5" s="8" t="inlineStr">
        <is>
          <t>2Q19</t>
        </is>
      </c>
      <c r="U5" s="8" t="inlineStr">
        <is>
          <t>3Q19</t>
        </is>
      </c>
      <c r="V5" s="8" t="inlineStr">
        <is>
          <t>4Q19</t>
        </is>
      </c>
      <c r="W5" s="9" t="inlineStr">
        <is>
          <t>2019</t>
        </is>
      </c>
      <c r="X5" s="8" t="inlineStr">
        <is>
          <t>1Q20</t>
        </is>
      </c>
      <c r="Y5" s="8" t="inlineStr">
        <is>
          <t>2Q20</t>
        </is>
      </c>
      <c r="Z5" s="8" t="inlineStr">
        <is>
          <t>3Q20</t>
        </is>
      </c>
      <c r="AA5" s="8" t="inlineStr">
        <is>
          <t>4Q20</t>
        </is>
      </c>
      <c r="AB5" s="9" t="inlineStr">
        <is>
          <t>2020</t>
        </is>
      </c>
      <c r="AC5" s="8" t="inlineStr">
        <is>
          <t>1Q21</t>
        </is>
      </c>
      <c r="AD5" s="8" t="inlineStr">
        <is>
          <t>2Q21</t>
        </is>
      </c>
      <c r="AE5" s="8" t="inlineStr">
        <is>
          <t>3Q21</t>
        </is>
      </c>
      <c r="AF5" s="8" t="inlineStr">
        <is>
          <t>4Q21</t>
        </is>
      </c>
      <c r="AG5" s="9" t="inlineStr">
        <is>
          <t>2021</t>
        </is>
      </c>
      <c r="AH5" s="8" t="inlineStr">
        <is>
          <t>1Q22</t>
        </is>
      </c>
      <c r="AI5" s="8" t="inlineStr">
        <is>
          <t>2Q22</t>
        </is>
      </c>
      <c r="AJ5" s="8" t="inlineStr">
        <is>
          <t>3Q22</t>
        </is>
      </c>
      <c r="AK5" s="8" t="inlineStr">
        <is>
          <t>4Q22</t>
        </is>
      </c>
      <c r="AL5" s="9" t="inlineStr">
        <is>
          <t>2022</t>
        </is>
      </c>
      <c r="AM5" s="8" t="inlineStr">
        <is>
          <t>1Q23</t>
        </is>
      </c>
      <c r="AN5" s="8" t="inlineStr">
        <is>
          <t>2Q23</t>
        </is>
      </c>
      <c r="AO5" s="8" t="inlineStr">
        <is>
          <t>3Q23</t>
        </is>
      </c>
      <c r="AP5" s="8" t="inlineStr">
        <is>
          <t>4Q23</t>
        </is>
      </c>
      <c r="AQ5" s="9" t="inlineStr">
        <is>
          <t>2023</t>
        </is>
      </c>
      <c r="AR5" s="8" t="inlineStr">
        <is>
          <t>1Q24</t>
        </is>
      </c>
      <c r="AS5" s="8" t="inlineStr">
        <is>
          <t>2Q24</t>
        </is>
      </c>
      <c r="AT5" s="8" t="inlineStr">
        <is>
          <t>3Q24</t>
        </is>
      </c>
      <c r="AU5" s="8" t="inlineStr">
        <is>
          <t>4Q24</t>
        </is>
      </c>
      <c r="AV5" s="9" t="inlineStr">
        <is>
          <t>2024</t>
        </is>
      </c>
      <c r="AW5" s="8" t="inlineStr">
        <is>
          <t>1Q25</t>
        </is>
      </c>
      <c r="AX5" s="8" t="inlineStr">
        <is>
          <t>2Q25</t>
        </is>
      </c>
      <c r="AY5" s="8" t="inlineStr">
        <is>
          <t>3Q25</t>
        </is>
      </c>
      <c r="AZ5" s="8" t="inlineStr">
        <is>
          <t>4Q25</t>
        </is>
      </c>
      <c r="BA5" s="9" t="inlineStr">
        <is>
          <t>2025</t>
        </is>
      </c>
      <c r="BB5" s="8" t="inlineStr">
        <is>
          <t>1Q26</t>
        </is>
      </c>
    </row>
    <row r="6"/>
    <row r="7">
      <c r="B7" s="10" t="inlineStr">
        <is>
          <t>INCOME STATEMENT (as reported)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</row>
    <row r="8">
      <c r="B8" s="12" t="inlineStr">
        <is>
          <t>(=) Net revenue</t>
        </is>
      </c>
      <c r="C8" s="6" t="inlineStr">
        <is>
          <t>USD mn</t>
        </is>
      </c>
      <c r="D8" s="13" t="n"/>
      <c r="E8" s="13" t="n"/>
      <c r="F8" s="13" t="n"/>
      <c r="G8" s="13" t="n"/>
      <c r="H8" s="14">
        <f>SUM(D8:G8)</f>
        <v/>
      </c>
      <c r="I8" s="13" t="n"/>
      <c r="J8" s="13" t="n"/>
      <c r="K8" s="13" t="n"/>
      <c r="L8" s="13" t="n"/>
      <c r="M8" s="14">
        <f>SUM(I8:L8)</f>
        <v/>
      </c>
      <c r="N8" s="13" t="n"/>
      <c r="O8" s="13" t="n"/>
      <c r="P8" s="13" t="n"/>
      <c r="Q8" s="13" t="n"/>
      <c r="R8" s="14">
        <f>SUM(N8:Q8)</f>
        <v/>
      </c>
      <c r="S8" s="13" t="n"/>
      <c r="T8" s="13" t="n"/>
      <c r="U8" s="13" t="n"/>
      <c r="V8" s="13" t="n"/>
      <c r="W8" s="14">
        <f>SUM(S8:V8)</f>
        <v/>
      </c>
      <c r="X8" s="13" t="n"/>
      <c r="Y8" s="13" t="n"/>
      <c r="Z8" s="13" t="n"/>
      <c r="AA8" s="13" t="n"/>
      <c r="AB8" s="14">
        <f>SUM(X8:AA8)</f>
        <v/>
      </c>
      <c r="AC8" s="13" t="n"/>
      <c r="AD8" s="13" t="n"/>
      <c r="AE8" s="13" t="n"/>
      <c r="AF8" s="13" t="n"/>
      <c r="AG8" s="14">
        <f>SUM(AC8:AF8)</f>
        <v/>
      </c>
      <c r="AH8" s="13" t="n"/>
      <c r="AI8" s="13" t="n"/>
      <c r="AJ8" s="13" t="n"/>
      <c r="AK8" s="13" t="n"/>
      <c r="AL8" s="14">
        <f>SUM(AH8:AK8)</f>
        <v/>
      </c>
      <c r="AM8" s="13" t="n">
        <v>632.3625</v>
      </c>
      <c r="AN8" s="13" t="n">
        <v>655.2754</v>
      </c>
      <c r="AO8" s="13" t="n">
        <v>645.0098</v>
      </c>
      <c r="AP8" s="13" t="n">
        <v>642.8745</v>
      </c>
      <c r="AQ8" s="14">
        <f>SUM(AM8:AP8)</f>
        <v/>
      </c>
      <c r="AR8" s="13" t="n">
        <v>657.657</v>
      </c>
      <c r="AS8" s="13" t="n">
        <v>681.2269</v>
      </c>
      <c r="AT8" s="13" t="n">
        <v>670.3043</v>
      </c>
      <c r="AU8" s="13" t="n">
        <v>667.8405</v>
      </c>
      <c r="AV8" s="14">
        <f>SUM(AR8:AU8)</f>
        <v/>
      </c>
      <c r="AW8" s="13" t="n">
        <v>682.9515</v>
      </c>
      <c r="AX8" s="13" t="n">
        <v>707.1784</v>
      </c>
      <c r="AY8" s="13" t="n">
        <v>695.5987</v>
      </c>
      <c r="AZ8" s="13" t="n">
        <v>692.8065</v>
      </c>
      <c r="BA8" s="14">
        <f>SUM(AW8:AZ8)</f>
        <v/>
      </c>
      <c r="BB8" s="13" t="n">
        <v>708.246</v>
      </c>
    </row>
    <row r="9">
      <c r="B9" s="12" t="inlineStr">
        <is>
          <t>(-) Cost of goods sold</t>
        </is>
      </c>
      <c r="C9" s="6" t="inlineStr">
        <is>
          <t>USD mn</t>
        </is>
      </c>
      <c r="D9" s="13" t="n"/>
      <c r="E9" s="13" t="n"/>
      <c r="F9" s="13" t="n"/>
      <c r="G9" s="13" t="n"/>
      <c r="H9" s="14">
        <f>SUM(D9:G9)</f>
        <v/>
      </c>
      <c r="I9" s="13" t="n"/>
      <c r="J9" s="13" t="n"/>
      <c r="K9" s="13" t="n"/>
      <c r="L9" s="13" t="n"/>
      <c r="M9" s="14">
        <f>SUM(I9:L9)</f>
        <v/>
      </c>
      <c r="N9" s="13" t="n"/>
      <c r="O9" s="13" t="n"/>
      <c r="P9" s="13" t="n"/>
      <c r="Q9" s="13" t="n"/>
      <c r="R9" s="14">
        <f>SUM(N9:Q9)</f>
        <v/>
      </c>
      <c r="S9" s="13" t="n"/>
      <c r="T9" s="13" t="n"/>
      <c r="U9" s="13" t="n"/>
      <c r="V9" s="13" t="n"/>
      <c r="W9" s="14">
        <f>SUM(S9:V9)</f>
        <v/>
      </c>
      <c r="X9" s="13" t="n"/>
      <c r="Y9" s="13" t="n"/>
      <c r="Z9" s="13" t="n"/>
      <c r="AA9" s="13" t="n"/>
      <c r="AB9" s="14">
        <f>SUM(X9:AA9)</f>
        <v/>
      </c>
      <c r="AC9" s="13" t="n"/>
      <c r="AD9" s="13" t="n"/>
      <c r="AE9" s="13" t="n"/>
      <c r="AF9" s="13" t="n"/>
      <c r="AG9" s="14">
        <f>SUM(AC9:AF9)</f>
        <v/>
      </c>
      <c r="AH9" s="13" t="n"/>
      <c r="AI9" s="13" t="n"/>
      <c r="AJ9" s="13" t="n"/>
      <c r="AK9" s="13" t="n"/>
      <c r="AL9" s="14">
        <f>SUM(AH9:AK9)</f>
        <v/>
      </c>
      <c r="AM9" s="13" t="n">
        <v>-206.955</v>
      </c>
      <c r="AN9" s="13" t="n">
        <v>-210.6835</v>
      </c>
      <c r="AO9" s="13" t="n">
        <v>-211.0941</v>
      </c>
      <c r="AP9" s="13" t="n">
        <v>-212.3178</v>
      </c>
      <c r="AQ9" s="14">
        <f>SUM(AM9:AP9)</f>
        <v/>
      </c>
      <c r="AR9" s="13" t="n">
        <v>-215.2332</v>
      </c>
      <c r="AS9" s="13" t="n">
        <v>-219.0274</v>
      </c>
      <c r="AT9" s="13" t="n">
        <v>-219.3723</v>
      </c>
      <c r="AU9" s="13" t="n">
        <v>-220.5631</v>
      </c>
      <c r="AV9" s="14">
        <f>SUM(AR9:AU9)</f>
        <v/>
      </c>
      <c r="AW9" s="13" t="n">
        <v>-223.5114</v>
      </c>
      <c r="AX9" s="13" t="n">
        <v>-227.3713</v>
      </c>
      <c r="AY9" s="13" t="n">
        <v>-227.6505</v>
      </c>
      <c r="AZ9" s="13" t="n">
        <v>-228.8085</v>
      </c>
      <c r="BA9" s="14">
        <f>SUM(AW9:AZ9)</f>
        <v/>
      </c>
      <c r="BB9" s="13" t="n">
        <v>-231.7896</v>
      </c>
    </row>
    <row r="10">
      <c r="B10" s="12" t="inlineStr">
        <is>
          <t>(=) Gross profit</t>
        </is>
      </c>
      <c r="C10" s="6" t="inlineStr">
        <is>
          <t>USD mn</t>
        </is>
      </c>
      <c r="D10" s="13" t="n"/>
      <c r="E10" s="13" t="n"/>
      <c r="F10" s="13" t="n"/>
      <c r="G10" s="13" t="n"/>
      <c r="H10" s="14">
        <f>SUM(D10:G10)</f>
        <v/>
      </c>
      <c r="I10" s="13" t="n"/>
      <c r="J10" s="13" t="n"/>
      <c r="K10" s="13" t="n"/>
      <c r="L10" s="13" t="n"/>
      <c r="M10" s="14">
        <f>SUM(I10:L10)</f>
        <v/>
      </c>
      <c r="N10" s="13" t="n"/>
      <c r="O10" s="13" t="n"/>
      <c r="P10" s="13" t="n"/>
      <c r="Q10" s="13" t="n"/>
      <c r="R10" s="14">
        <f>SUM(N10:Q10)</f>
        <v/>
      </c>
      <c r="S10" s="13" t="n"/>
      <c r="T10" s="13" t="n"/>
      <c r="U10" s="13" t="n"/>
      <c r="V10" s="13" t="n"/>
      <c r="W10" s="14">
        <f>SUM(S10:V10)</f>
        <v/>
      </c>
      <c r="X10" s="13" t="n"/>
      <c r="Y10" s="13" t="n"/>
      <c r="Z10" s="13" t="n"/>
      <c r="AA10" s="13" t="n"/>
      <c r="AB10" s="14">
        <f>SUM(X10:AA10)</f>
        <v/>
      </c>
      <c r="AC10" s="13" t="n"/>
      <c r="AD10" s="13" t="n"/>
      <c r="AE10" s="13" t="n"/>
      <c r="AF10" s="13" t="n"/>
      <c r="AG10" s="14">
        <f>SUM(AC10:AF10)</f>
        <v/>
      </c>
      <c r="AH10" s="13" t="n"/>
      <c r="AI10" s="13" t="n"/>
      <c r="AJ10" s="13" t="n"/>
      <c r="AK10" s="13" t="n"/>
      <c r="AL10" s="14">
        <f>SUM(AH10:AK10)</f>
        <v/>
      </c>
      <c r="AM10" s="13" t="n">
        <v>425.4075</v>
      </c>
      <c r="AN10" s="13" t="n">
        <v>444.5919</v>
      </c>
      <c r="AO10" s="13" t="n">
        <v>433.9157</v>
      </c>
      <c r="AP10" s="13" t="n">
        <v>430.5567</v>
      </c>
      <c r="AQ10" s="14">
        <f>SUM(AM10:AP10)</f>
        <v/>
      </c>
      <c r="AR10" s="13" t="n">
        <v>442.4238</v>
      </c>
      <c r="AS10" s="13" t="n">
        <v>462.1995</v>
      </c>
      <c r="AT10" s="13" t="n">
        <v>450.932</v>
      </c>
      <c r="AU10" s="13" t="n">
        <v>447.2774</v>
      </c>
      <c r="AV10" s="14">
        <f>SUM(AR10:AU10)</f>
        <v/>
      </c>
      <c r="AW10" s="13" t="n">
        <v>459.4401</v>
      </c>
      <c r="AX10" s="13" t="n">
        <v>479.8071</v>
      </c>
      <c r="AY10" s="13" t="n">
        <v>467.9483</v>
      </c>
      <c r="AZ10" s="13" t="n">
        <v>463.998</v>
      </c>
      <c r="BA10" s="14">
        <f>SUM(AW10:AZ10)</f>
        <v/>
      </c>
      <c r="BB10" s="13" t="n">
        <v>476.4564</v>
      </c>
    </row>
    <row r="11">
      <c r="B11" s="12" t="inlineStr">
        <is>
          <t>(-) General &amp; administrative expenses</t>
        </is>
      </c>
      <c r="C11" s="6" t="inlineStr">
        <is>
          <t>USD mn</t>
        </is>
      </c>
      <c r="D11" s="13" t="n"/>
      <c r="E11" s="13" t="n"/>
      <c r="F11" s="13" t="n"/>
      <c r="G11" s="13" t="n"/>
      <c r="H11" s="14">
        <f>SUM(D11:G11)</f>
        <v/>
      </c>
      <c r="I11" s="13" t="n"/>
      <c r="J11" s="13" t="n"/>
      <c r="K11" s="13" t="n"/>
      <c r="L11" s="13" t="n"/>
      <c r="M11" s="14">
        <f>SUM(I11:L11)</f>
        <v/>
      </c>
      <c r="N11" s="13" t="n"/>
      <c r="O11" s="13" t="n"/>
      <c r="P11" s="13" t="n"/>
      <c r="Q11" s="13" t="n"/>
      <c r="R11" s="14">
        <f>SUM(N11:Q11)</f>
        <v/>
      </c>
      <c r="S11" s="13" t="n"/>
      <c r="T11" s="13" t="n"/>
      <c r="U11" s="13" t="n"/>
      <c r="V11" s="13" t="n"/>
      <c r="W11" s="14">
        <f>SUM(S11:V11)</f>
        <v/>
      </c>
      <c r="X11" s="13" t="n"/>
      <c r="Y11" s="13" t="n"/>
      <c r="Z11" s="13" t="n"/>
      <c r="AA11" s="13" t="n"/>
      <c r="AB11" s="14">
        <f>SUM(X11:AA11)</f>
        <v/>
      </c>
      <c r="AC11" s="13" t="n"/>
      <c r="AD11" s="13" t="n"/>
      <c r="AE11" s="13" t="n"/>
      <c r="AF11" s="13" t="n"/>
      <c r="AG11" s="14">
        <f>SUM(AC11:AF11)</f>
        <v/>
      </c>
      <c r="AH11" s="13" t="n"/>
      <c r="AI11" s="13" t="n"/>
      <c r="AJ11" s="13" t="n"/>
      <c r="AK11" s="13" t="n"/>
      <c r="AL11" s="14">
        <f>SUM(AH11:AK11)</f>
        <v/>
      </c>
      <c r="AM11" s="13" t="n">
        <v>-25.2945</v>
      </c>
      <c r="AN11" s="13" t="n">
        <v>-26.211</v>
      </c>
      <c r="AO11" s="13" t="n">
        <v>-25.8004</v>
      </c>
      <c r="AP11" s="13" t="n">
        <v>-25.715</v>
      </c>
      <c r="AQ11" s="14">
        <f>SUM(AM11:AP11)</f>
        <v/>
      </c>
      <c r="AR11" s="13" t="n">
        <v>-26.3063</v>
      </c>
      <c r="AS11" s="13" t="n">
        <v>-27.2491</v>
      </c>
      <c r="AT11" s="13" t="n">
        <v>-26.8122</v>
      </c>
      <c r="AU11" s="13" t="n">
        <v>-26.7136</v>
      </c>
      <c r="AV11" s="14">
        <f>SUM(AR11:AU11)</f>
        <v/>
      </c>
      <c r="AW11" s="13" t="n">
        <v>-27.3181</v>
      </c>
      <c r="AX11" s="13" t="n">
        <v>-28.2871</v>
      </c>
      <c r="AY11" s="13" t="n">
        <v>-27.8239</v>
      </c>
      <c r="AZ11" s="13" t="n">
        <v>-27.7123</v>
      </c>
      <c r="BA11" s="14">
        <f>SUM(AW11:AZ11)</f>
        <v/>
      </c>
      <c r="BB11" s="13" t="n">
        <v>-28.3298</v>
      </c>
    </row>
    <row r="12">
      <c r="B12" s="12" t="inlineStr">
        <is>
          <t>(-) Exploration expenses</t>
        </is>
      </c>
      <c r="C12" s="6" t="inlineStr">
        <is>
          <t>USD mn</t>
        </is>
      </c>
      <c r="D12" s="13" t="n"/>
      <c r="E12" s="13" t="n"/>
      <c r="F12" s="13" t="n"/>
      <c r="G12" s="13" t="n"/>
      <c r="H12" s="14">
        <f>SUM(D12:G12)</f>
        <v/>
      </c>
      <c r="I12" s="13" t="n"/>
      <c r="J12" s="13" t="n"/>
      <c r="K12" s="13" t="n"/>
      <c r="L12" s="13" t="n"/>
      <c r="M12" s="14">
        <f>SUM(I12:L12)</f>
        <v/>
      </c>
      <c r="N12" s="13" t="n"/>
      <c r="O12" s="13" t="n"/>
      <c r="P12" s="13" t="n"/>
      <c r="Q12" s="13" t="n"/>
      <c r="R12" s="14">
        <f>SUM(N12:Q12)</f>
        <v/>
      </c>
      <c r="S12" s="13" t="n"/>
      <c r="T12" s="13" t="n"/>
      <c r="U12" s="13" t="n"/>
      <c r="V12" s="13" t="n"/>
      <c r="W12" s="14">
        <f>SUM(S12:V12)</f>
        <v/>
      </c>
      <c r="X12" s="13" t="n"/>
      <c r="Y12" s="13" t="n"/>
      <c r="Z12" s="13" t="n"/>
      <c r="AA12" s="13" t="n"/>
      <c r="AB12" s="14">
        <f>SUM(X12:AA12)</f>
        <v/>
      </c>
      <c r="AC12" s="13" t="n"/>
      <c r="AD12" s="13" t="n"/>
      <c r="AE12" s="13" t="n"/>
      <c r="AF12" s="13" t="n"/>
      <c r="AG12" s="14">
        <f>SUM(AC12:AF12)</f>
        <v/>
      </c>
      <c r="AH12" s="13" t="n"/>
      <c r="AI12" s="13" t="n"/>
      <c r="AJ12" s="13" t="n"/>
      <c r="AK12" s="13" t="n"/>
      <c r="AL12" s="14">
        <f>SUM(AH12:AK12)</f>
        <v/>
      </c>
      <c r="AM12" s="13" t="n">
        <v>-8</v>
      </c>
      <c r="AN12" s="13" t="n">
        <v>-8</v>
      </c>
      <c r="AO12" s="13" t="n">
        <v>-8</v>
      </c>
      <c r="AP12" s="13" t="n">
        <v>-8</v>
      </c>
      <c r="AQ12" s="14">
        <f>SUM(AM12:AP12)</f>
        <v/>
      </c>
      <c r="AR12" s="13" t="n">
        <v>-8</v>
      </c>
      <c r="AS12" s="13" t="n">
        <v>-8</v>
      </c>
      <c r="AT12" s="13" t="n">
        <v>-8</v>
      </c>
      <c r="AU12" s="13" t="n">
        <v>-8</v>
      </c>
      <c r="AV12" s="14">
        <f>SUM(AR12:AU12)</f>
        <v/>
      </c>
      <c r="AW12" s="13" t="n">
        <v>-8</v>
      </c>
      <c r="AX12" s="13" t="n">
        <v>-8</v>
      </c>
      <c r="AY12" s="13" t="n">
        <v>-8</v>
      </c>
      <c r="AZ12" s="13" t="n">
        <v>-8</v>
      </c>
      <c r="BA12" s="14">
        <f>SUM(AW12:AZ12)</f>
        <v/>
      </c>
      <c r="BB12" s="13" t="n">
        <v>-8</v>
      </c>
    </row>
    <row r="13">
      <c r="B13" s="12" t="inlineStr">
        <is>
          <t>(+/-) Other operating income (expenses)</t>
        </is>
      </c>
      <c r="C13" s="6" t="inlineStr">
        <is>
          <t>USD mn</t>
        </is>
      </c>
      <c r="D13" s="13" t="n"/>
      <c r="E13" s="13" t="n"/>
      <c r="F13" s="13" t="n"/>
      <c r="G13" s="13" t="n"/>
      <c r="H13" s="14">
        <f>SUM(D13:G13)</f>
        <v/>
      </c>
      <c r="I13" s="13" t="n"/>
      <c r="J13" s="13" t="n"/>
      <c r="K13" s="13" t="n"/>
      <c r="L13" s="13" t="n"/>
      <c r="M13" s="14">
        <f>SUM(I13:L13)</f>
        <v/>
      </c>
      <c r="N13" s="13" t="n"/>
      <c r="O13" s="13" t="n"/>
      <c r="P13" s="13" t="n"/>
      <c r="Q13" s="13" t="n"/>
      <c r="R13" s="14">
        <f>SUM(N13:Q13)</f>
        <v/>
      </c>
      <c r="S13" s="13" t="n"/>
      <c r="T13" s="13" t="n"/>
      <c r="U13" s="13" t="n"/>
      <c r="V13" s="13" t="n"/>
      <c r="W13" s="14">
        <f>SUM(S13:V13)</f>
        <v/>
      </c>
      <c r="X13" s="13" t="n"/>
      <c r="Y13" s="13" t="n"/>
      <c r="Z13" s="13" t="n"/>
      <c r="AA13" s="13" t="n"/>
      <c r="AB13" s="14">
        <f>SUM(X13:AA13)</f>
        <v/>
      </c>
      <c r="AC13" s="13" t="n"/>
      <c r="AD13" s="13" t="n"/>
      <c r="AE13" s="13" t="n"/>
      <c r="AF13" s="13" t="n"/>
      <c r="AG13" s="14">
        <f>SUM(AC13:AF13)</f>
        <v/>
      </c>
      <c r="AH13" s="13" t="n"/>
      <c r="AI13" s="13" t="n"/>
      <c r="AJ13" s="13" t="n"/>
      <c r="AK13" s="13" t="n"/>
      <c r="AL13" s="14">
        <f>SUM(AH13:AK13)</f>
        <v/>
      </c>
      <c r="AM13" s="13" t="n">
        <v>0</v>
      </c>
      <c r="AN13" s="13" t="n">
        <v>0</v>
      </c>
      <c r="AO13" s="13" t="n">
        <v>0</v>
      </c>
      <c r="AP13" s="13" t="n">
        <v>0</v>
      </c>
      <c r="AQ13" s="14">
        <f>SUM(AM13:AP13)</f>
        <v/>
      </c>
      <c r="AR13" s="13" t="n">
        <v>0</v>
      </c>
      <c r="AS13" s="13" t="n">
        <v>0</v>
      </c>
      <c r="AT13" s="13" t="n">
        <v>0</v>
      </c>
      <c r="AU13" s="13" t="n">
        <v>0</v>
      </c>
      <c r="AV13" s="14">
        <f>SUM(AR13:AU13)</f>
        <v/>
      </c>
      <c r="AW13" s="13" t="n">
        <v>0</v>
      </c>
      <c r="AX13" s="13" t="n">
        <v>0</v>
      </c>
      <c r="AY13" s="13" t="n">
        <v>0</v>
      </c>
      <c r="AZ13" s="13" t="n">
        <v>0</v>
      </c>
      <c r="BA13" s="14">
        <f>SUM(AW13:AZ13)</f>
        <v/>
      </c>
      <c r="BB13" s="13" t="n">
        <v>0</v>
      </c>
    </row>
    <row r="14">
      <c r="B14" s="12" t="inlineStr">
        <is>
          <t>(=) EBIT</t>
        </is>
      </c>
      <c r="C14" s="6" t="inlineStr">
        <is>
          <t>USD mn</t>
        </is>
      </c>
      <c r="D14" s="13" t="n"/>
      <c r="E14" s="13" t="n"/>
      <c r="F14" s="13" t="n"/>
      <c r="G14" s="13" t="n"/>
      <c r="H14" s="14">
        <f>SUM(D14:G14)</f>
        <v/>
      </c>
      <c r="I14" s="13" t="n"/>
      <c r="J14" s="13" t="n"/>
      <c r="K14" s="13" t="n"/>
      <c r="L14" s="13" t="n"/>
      <c r="M14" s="14">
        <f>SUM(I14:L14)</f>
        <v/>
      </c>
      <c r="N14" s="13" t="n"/>
      <c r="O14" s="13" t="n"/>
      <c r="P14" s="13" t="n"/>
      <c r="Q14" s="13" t="n"/>
      <c r="R14" s="14">
        <f>SUM(N14:Q14)</f>
        <v/>
      </c>
      <c r="S14" s="13" t="n"/>
      <c r="T14" s="13" t="n"/>
      <c r="U14" s="13" t="n"/>
      <c r="V14" s="13" t="n"/>
      <c r="W14" s="14">
        <f>SUM(S14:V14)</f>
        <v/>
      </c>
      <c r="X14" s="13" t="n"/>
      <c r="Y14" s="13" t="n"/>
      <c r="Z14" s="13" t="n"/>
      <c r="AA14" s="13" t="n"/>
      <c r="AB14" s="14">
        <f>SUM(X14:AA14)</f>
        <v/>
      </c>
      <c r="AC14" s="13" t="n"/>
      <c r="AD14" s="13" t="n"/>
      <c r="AE14" s="13" t="n"/>
      <c r="AF14" s="13" t="n"/>
      <c r="AG14" s="14">
        <f>SUM(AC14:AF14)</f>
        <v/>
      </c>
      <c r="AH14" s="13" t="n"/>
      <c r="AI14" s="13" t="n"/>
      <c r="AJ14" s="13" t="n"/>
      <c r="AK14" s="13" t="n"/>
      <c r="AL14" s="14">
        <f>SUM(AH14:AK14)</f>
        <v/>
      </c>
      <c r="AM14" s="13" t="n">
        <v>392.113</v>
      </c>
      <c r="AN14" s="13" t="n">
        <v>410.3809</v>
      </c>
      <c r="AO14" s="13" t="n">
        <v>400.1153</v>
      </c>
      <c r="AP14" s="13" t="n">
        <v>396.8418</v>
      </c>
      <c r="AQ14" s="14">
        <f>SUM(AM14:AP14)</f>
        <v/>
      </c>
      <c r="AR14" s="13" t="n">
        <v>408.1175</v>
      </c>
      <c r="AS14" s="13" t="n">
        <v>426.9504</v>
      </c>
      <c r="AT14" s="13" t="n">
        <v>416.1198</v>
      </c>
      <c r="AU14" s="13" t="n">
        <v>412.5638</v>
      </c>
      <c r="AV14" s="14">
        <f>SUM(AR14:AU14)</f>
        <v/>
      </c>
      <c r="AW14" s="13" t="n">
        <v>424.122</v>
      </c>
      <c r="AX14" s="13" t="n">
        <v>443.52</v>
      </c>
      <c r="AY14" s="13" t="n">
        <v>432.1243</v>
      </c>
      <c r="AZ14" s="13" t="n">
        <v>428.2858</v>
      </c>
      <c r="BA14" s="14">
        <f>SUM(AW14:AZ14)</f>
        <v/>
      </c>
      <c r="BB14" s="13" t="n">
        <v>440.1266</v>
      </c>
    </row>
    <row r="15">
      <c r="B15" s="12" t="inlineStr">
        <is>
          <t>(+/-) Financial result</t>
        </is>
      </c>
      <c r="C15" s="6" t="inlineStr">
        <is>
          <t>USD mn</t>
        </is>
      </c>
      <c r="D15" s="13" t="n"/>
      <c r="E15" s="13" t="n"/>
      <c r="F15" s="13" t="n"/>
      <c r="G15" s="13" t="n"/>
      <c r="H15" s="14">
        <f>SUM(D15:G15)</f>
        <v/>
      </c>
      <c r="I15" s="13" t="n"/>
      <c r="J15" s="13" t="n"/>
      <c r="K15" s="13" t="n"/>
      <c r="L15" s="13" t="n"/>
      <c r="M15" s="14">
        <f>SUM(I15:L15)</f>
        <v/>
      </c>
      <c r="N15" s="13" t="n"/>
      <c r="O15" s="13" t="n"/>
      <c r="P15" s="13" t="n"/>
      <c r="Q15" s="13" t="n"/>
      <c r="R15" s="14">
        <f>SUM(N15:Q15)</f>
        <v/>
      </c>
      <c r="S15" s="13" t="n"/>
      <c r="T15" s="13" t="n"/>
      <c r="U15" s="13" t="n"/>
      <c r="V15" s="13" t="n"/>
      <c r="W15" s="14">
        <f>SUM(S15:V15)</f>
        <v/>
      </c>
      <c r="X15" s="13" t="n"/>
      <c r="Y15" s="13" t="n"/>
      <c r="Z15" s="13" t="n"/>
      <c r="AA15" s="13" t="n"/>
      <c r="AB15" s="14">
        <f>SUM(X15:AA15)</f>
        <v/>
      </c>
      <c r="AC15" s="13" t="n"/>
      <c r="AD15" s="13" t="n"/>
      <c r="AE15" s="13" t="n"/>
      <c r="AF15" s="13" t="n"/>
      <c r="AG15" s="14">
        <f>SUM(AC15:AF15)</f>
        <v/>
      </c>
      <c r="AH15" s="13" t="n"/>
      <c r="AI15" s="13" t="n"/>
      <c r="AJ15" s="13" t="n"/>
      <c r="AK15" s="13" t="n"/>
      <c r="AL15" s="14">
        <f>SUM(AH15:AK15)</f>
        <v/>
      </c>
      <c r="AM15" s="13" t="n">
        <v>-12</v>
      </c>
      <c r="AN15" s="13" t="n">
        <v>-12</v>
      </c>
      <c r="AO15" s="13" t="n">
        <v>-12</v>
      </c>
      <c r="AP15" s="13" t="n">
        <v>-12</v>
      </c>
      <c r="AQ15" s="14">
        <f>SUM(AM15:AP15)</f>
        <v/>
      </c>
      <c r="AR15" s="13" t="n">
        <v>-12</v>
      </c>
      <c r="AS15" s="13" t="n">
        <v>-12</v>
      </c>
      <c r="AT15" s="13" t="n">
        <v>-12</v>
      </c>
      <c r="AU15" s="13" t="n">
        <v>-12</v>
      </c>
      <c r="AV15" s="14">
        <f>SUM(AR15:AU15)</f>
        <v/>
      </c>
      <c r="AW15" s="13" t="n">
        <v>-12</v>
      </c>
      <c r="AX15" s="13" t="n">
        <v>-12</v>
      </c>
      <c r="AY15" s="13" t="n">
        <v>-12</v>
      </c>
      <c r="AZ15" s="13" t="n">
        <v>-12</v>
      </c>
      <c r="BA15" s="14">
        <f>SUM(AW15:AZ15)</f>
        <v/>
      </c>
      <c r="BB15" s="13" t="n">
        <v>-12</v>
      </c>
    </row>
    <row r="16">
      <c r="B16" s="12" t="inlineStr">
        <is>
          <t>(+/-) Equity income and other</t>
        </is>
      </c>
      <c r="C16" s="6" t="inlineStr">
        <is>
          <t>USD mn</t>
        </is>
      </c>
      <c r="D16" s="13" t="n"/>
      <c r="E16" s="13" t="n"/>
      <c r="F16" s="13" t="n"/>
      <c r="G16" s="13" t="n"/>
      <c r="H16" s="14">
        <f>SUM(D16:G16)</f>
        <v/>
      </c>
      <c r="I16" s="13" t="n"/>
      <c r="J16" s="13" t="n"/>
      <c r="K16" s="13" t="n"/>
      <c r="L16" s="13" t="n"/>
      <c r="M16" s="14">
        <f>SUM(I16:L16)</f>
        <v/>
      </c>
      <c r="N16" s="13" t="n"/>
      <c r="O16" s="13" t="n"/>
      <c r="P16" s="13" t="n"/>
      <c r="Q16" s="13" t="n"/>
      <c r="R16" s="14">
        <f>SUM(N16:Q16)</f>
        <v/>
      </c>
      <c r="S16" s="13" t="n"/>
      <c r="T16" s="13" t="n"/>
      <c r="U16" s="13" t="n"/>
      <c r="V16" s="13" t="n"/>
      <c r="W16" s="14">
        <f>SUM(S16:V16)</f>
        <v/>
      </c>
      <c r="X16" s="13" t="n"/>
      <c r="Y16" s="13" t="n"/>
      <c r="Z16" s="13" t="n"/>
      <c r="AA16" s="13" t="n"/>
      <c r="AB16" s="14">
        <f>SUM(X16:AA16)</f>
        <v/>
      </c>
      <c r="AC16" s="13" t="n"/>
      <c r="AD16" s="13" t="n"/>
      <c r="AE16" s="13" t="n"/>
      <c r="AF16" s="13" t="n"/>
      <c r="AG16" s="14">
        <f>SUM(AC16:AF16)</f>
        <v/>
      </c>
      <c r="AH16" s="13" t="n"/>
      <c r="AI16" s="13" t="n"/>
      <c r="AJ16" s="13" t="n"/>
      <c r="AK16" s="13" t="n"/>
      <c r="AL16" s="14">
        <f>SUM(AH16:AK16)</f>
        <v/>
      </c>
      <c r="AM16" s="13" t="n">
        <v>0</v>
      </c>
      <c r="AN16" s="13" t="n">
        <v>0</v>
      </c>
      <c r="AO16" s="13" t="n">
        <v>0</v>
      </c>
      <c r="AP16" s="13" t="n">
        <v>0</v>
      </c>
      <c r="AQ16" s="14">
        <f>SUM(AM16:AP16)</f>
        <v/>
      </c>
      <c r="AR16" s="13" t="n">
        <v>0</v>
      </c>
      <c r="AS16" s="13" t="n">
        <v>0</v>
      </c>
      <c r="AT16" s="13" t="n">
        <v>0</v>
      </c>
      <c r="AU16" s="13" t="n">
        <v>0</v>
      </c>
      <c r="AV16" s="14">
        <f>SUM(AR16:AU16)</f>
        <v/>
      </c>
      <c r="AW16" s="13" t="n">
        <v>0</v>
      </c>
      <c r="AX16" s="13" t="n">
        <v>0</v>
      </c>
      <c r="AY16" s="13" t="n">
        <v>0</v>
      </c>
      <c r="AZ16" s="13" t="n">
        <v>0</v>
      </c>
      <c r="BA16" s="14">
        <f>SUM(AW16:AZ16)</f>
        <v/>
      </c>
      <c r="BB16" s="13" t="n">
        <v>0</v>
      </c>
    </row>
    <row r="17">
      <c r="B17" s="12" t="inlineStr">
        <is>
          <t>(=) EBT</t>
        </is>
      </c>
      <c r="C17" s="6" t="inlineStr">
        <is>
          <t>USD mn</t>
        </is>
      </c>
      <c r="D17" s="13" t="n"/>
      <c r="E17" s="13" t="n"/>
      <c r="F17" s="13" t="n"/>
      <c r="G17" s="13" t="n"/>
      <c r="H17" s="14">
        <f>SUM(D17:G17)</f>
        <v/>
      </c>
      <c r="I17" s="13" t="n"/>
      <c r="J17" s="13" t="n"/>
      <c r="K17" s="13" t="n"/>
      <c r="L17" s="13" t="n"/>
      <c r="M17" s="14">
        <f>SUM(I17:L17)</f>
        <v/>
      </c>
      <c r="N17" s="13" t="n"/>
      <c r="O17" s="13" t="n"/>
      <c r="P17" s="13" t="n"/>
      <c r="Q17" s="13" t="n"/>
      <c r="R17" s="14">
        <f>SUM(N17:Q17)</f>
        <v/>
      </c>
      <c r="S17" s="13" t="n"/>
      <c r="T17" s="13" t="n"/>
      <c r="U17" s="13" t="n"/>
      <c r="V17" s="13" t="n"/>
      <c r="W17" s="14">
        <f>SUM(S17:V17)</f>
        <v/>
      </c>
      <c r="X17" s="13" t="n"/>
      <c r="Y17" s="13" t="n"/>
      <c r="Z17" s="13" t="n"/>
      <c r="AA17" s="13" t="n"/>
      <c r="AB17" s="14">
        <f>SUM(X17:AA17)</f>
        <v/>
      </c>
      <c r="AC17" s="13" t="n"/>
      <c r="AD17" s="13" t="n"/>
      <c r="AE17" s="13" t="n"/>
      <c r="AF17" s="13" t="n"/>
      <c r="AG17" s="14">
        <f>SUM(AC17:AF17)</f>
        <v/>
      </c>
      <c r="AH17" s="13" t="n"/>
      <c r="AI17" s="13" t="n"/>
      <c r="AJ17" s="13" t="n"/>
      <c r="AK17" s="13" t="n"/>
      <c r="AL17" s="14">
        <f>SUM(AH17:AK17)</f>
        <v/>
      </c>
      <c r="AM17" s="13" t="n">
        <v>380.113</v>
      </c>
      <c r="AN17" s="13" t="n">
        <v>398.3809</v>
      </c>
      <c r="AO17" s="13" t="n">
        <v>388.1153</v>
      </c>
      <c r="AP17" s="13" t="n">
        <v>384.8418</v>
      </c>
      <c r="AQ17" s="14">
        <f>SUM(AM17:AP17)</f>
        <v/>
      </c>
      <c r="AR17" s="13" t="n">
        <v>396.1175</v>
      </c>
      <c r="AS17" s="13" t="n">
        <v>414.9504</v>
      </c>
      <c r="AT17" s="13" t="n">
        <v>404.1198</v>
      </c>
      <c r="AU17" s="13" t="n">
        <v>400.5638</v>
      </c>
      <c r="AV17" s="14">
        <f>SUM(AR17:AU17)</f>
        <v/>
      </c>
      <c r="AW17" s="13" t="n">
        <v>412.122</v>
      </c>
      <c r="AX17" s="13" t="n">
        <v>431.52</v>
      </c>
      <c r="AY17" s="13" t="n">
        <v>420.1243</v>
      </c>
      <c r="AZ17" s="13" t="n">
        <v>416.2858</v>
      </c>
      <c r="BA17" s="14">
        <f>SUM(AW17:AZ17)</f>
        <v/>
      </c>
      <c r="BB17" s="13" t="n">
        <v>428.1266</v>
      </c>
    </row>
    <row r="18">
      <c r="B18" s="12" t="inlineStr">
        <is>
          <t>(-) Income taxes</t>
        </is>
      </c>
      <c r="C18" s="6" t="inlineStr">
        <is>
          <t>USD mn</t>
        </is>
      </c>
      <c r="D18" s="13" t="n"/>
      <c r="E18" s="13" t="n"/>
      <c r="F18" s="13" t="n"/>
      <c r="G18" s="13" t="n"/>
      <c r="H18" s="14">
        <f>SUM(D18:G18)</f>
        <v/>
      </c>
      <c r="I18" s="13" t="n"/>
      <c r="J18" s="13" t="n"/>
      <c r="K18" s="13" t="n"/>
      <c r="L18" s="13" t="n"/>
      <c r="M18" s="14">
        <f>SUM(I18:L18)</f>
        <v/>
      </c>
      <c r="N18" s="13" t="n"/>
      <c r="O18" s="13" t="n"/>
      <c r="P18" s="13" t="n"/>
      <c r="Q18" s="13" t="n"/>
      <c r="R18" s="14">
        <f>SUM(N18:Q18)</f>
        <v/>
      </c>
      <c r="S18" s="13" t="n"/>
      <c r="T18" s="13" t="n"/>
      <c r="U18" s="13" t="n"/>
      <c r="V18" s="13" t="n"/>
      <c r="W18" s="14">
        <f>SUM(S18:V18)</f>
        <v/>
      </c>
      <c r="X18" s="13" t="n"/>
      <c r="Y18" s="13" t="n"/>
      <c r="Z18" s="13" t="n"/>
      <c r="AA18" s="13" t="n"/>
      <c r="AB18" s="14">
        <f>SUM(X18:AA18)</f>
        <v/>
      </c>
      <c r="AC18" s="13" t="n"/>
      <c r="AD18" s="13" t="n"/>
      <c r="AE18" s="13" t="n"/>
      <c r="AF18" s="13" t="n"/>
      <c r="AG18" s="14">
        <f>SUM(AC18:AF18)</f>
        <v/>
      </c>
      <c r="AH18" s="13" t="n"/>
      <c r="AI18" s="13" t="n"/>
      <c r="AJ18" s="13" t="n"/>
      <c r="AK18" s="13" t="n"/>
      <c r="AL18" s="14">
        <f>SUM(AH18:AK18)</f>
        <v/>
      </c>
      <c r="AM18" s="13" t="n">
        <v>-95.0282</v>
      </c>
      <c r="AN18" s="13" t="n">
        <v>-99.59520000000001</v>
      </c>
      <c r="AO18" s="13" t="n">
        <v>-97.0288</v>
      </c>
      <c r="AP18" s="13" t="n">
        <v>-96.21040000000001</v>
      </c>
      <c r="AQ18" s="14">
        <f>SUM(AM18:AP18)</f>
        <v/>
      </c>
      <c r="AR18" s="13" t="n">
        <v>-99.0294</v>
      </c>
      <c r="AS18" s="13" t="n">
        <v>-103.7376</v>
      </c>
      <c r="AT18" s="13" t="n">
        <v>-101.0299</v>
      </c>
      <c r="AU18" s="13" t="n">
        <v>-100.1409</v>
      </c>
      <c r="AV18" s="14">
        <f>SUM(AR18:AU18)</f>
        <v/>
      </c>
      <c r="AW18" s="13" t="n">
        <v>-103.0305</v>
      </c>
      <c r="AX18" s="13" t="n">
        <v>-107.88</v>
      </c>
      <c r="AY18" s="13" t="n">
        <v>-105.0311</v>
      </c>
      <c r="AZ18" s="13" t="n">
        <v>-104.0714</v>
      </c>
      <c r="BA18" s="14">
        <f>SUM(AW18:AZ18)</f>
        <v/>
      </c>
      <c r="BB18" s="13" t="n">
        <v>-107.0316</v>
      </c>
    </row>
    <row r="19">
      <c r="B19" s="12" t="inlineStr">
        <is>
          <t>(=) Net income</t>
        </is>
      </c>
      <c r="C19" s="6" t="inlineStr">
        <is>
          <t>USD mn</t>
        </is>
      </c>
      <c r="D19" s="13" t="n"/>
      <c r="E19" s="13" t="n"/>
      <c r="F19" s="13" t="n"/>
      <c r="G19" s="13" t="n"/>
      <c r="H19" s="14">
        <f>SUM(D19:G19)</f>
        <v/>
      </c>
      <c r="I19" s="13" t="n"/>
      <c r="J19" s="13" t="n"/>
      <c r="K19" s="13" t="n"/>
      <c r="L19" s="13" t="n"/>
      <c r="M19" s="14">
        <f>SUM(I19:L19)</f>
        <v/>
      </c>
      <c r="N19" s="13" t="n"/>
      <c r="O19" s="13" t="n"/>
      <c r="P19" s="13" t="n"/>
      <c r="Q19" s="13" t="n"/>
      <c r="R19" s="14">
        <f>SUM(N19:Q19)</f>
        <v/>
      </c>
      <c r="S19" s="13" t="n"/>
      <c r="T19" s="13" t="n"/>
      <c r="U19" s="13" t="n"/>
      <c r="V19" s="13" t="n"/>
      <c r="W19" s="14">
        <f>SUM(S19:V19)</f>
        <v/>
      </c>
      <c r="X19" s="13" t="n"/>
      <c r="Y19" s="13" t="n"/>
      <c r="Z19" s="13" t="n"/>
      <c r="AA19" s="13" t="n"/>
      <c r="AB19" s="14">
        <f>SUM(X19:AA19)</f>
        <v/>
      </c>
      <c r="AC19" s="13" t="n"/>
      <c r="AD19" s="13" t="n"/>
      <c r="AE19" s="13" t="n"/>
      <c r="AF19" s="13" t="n"/>
      <c r="AG19" s="14">
        <f>SUM(AC19:AF19)</f>
        <v/>
      </c>
      <c r="AH19" s="13" t="n"/>
      <c r="AI19" s="13" t="n"/>
      <c r="AJ19" s="13" t="n"/>
      <c r="AK19" s="13" t="n"/>
      <c r="AL19" s="14">
        <f>SUM(AH19:AK19)</f>
        <v/>
      </c>
      <c r="AM19" s="13" t="n">
        <v>285.0847</v>
      </c>
      <c r="AN19" s="13" t="n">
        <v>298.7857</v>
      </c>
      <c r="AO19" s="13" t="n">
        <v>291.0864</v>
      </c>
      <c r="AP19" s="13" t="n">
        <v>288.6313</v>
      </c>
      <c r="AQ19" s="14">
        <f>SUM(AM19:AP19)</f>
        <v/>
      </c>
      <c r="AR19" s="13" t="n">
        <v>297.0881</v>
      </c>
      <c r="AS19" s="13" t="n">
        <v>311.2128</v>
      </c>
      <c r="AT19" s="13" t="n">
        <v>303.0898</v>
      </c>
      <c r="AU19" s="13" t="n">
        <v>300.4228</v>
      </c>
      <c r="AV19" s="14">
        <f>SUM(AR19:AU19)</f>
        <v/>
      </c>
      <c r="AW19" s="13" t="n">
        <v>309.0915</v>
      </c>
      <c r="AX19" s="13" t="n">
        <v>323.64</v>
      </c>
      <c r="AY19" s="13" t="n">
        <v>315.0932</v>
      </c>
      <c r="AZ19" s="13" t="n">
        <v>312.2143</v>
      </c>
      <c r="BA19" s="14">
        <f>SUM(AW19:AZ19)</f>
        <v/>
      </c>
      <c r="BB19" s="13" t="n">
        <v>321.0949</v>
      </c>
    </row>
    <row r="20">
      <c r="B20" s="12" t="inlineStr">
        <is>
          <t>(-) Minority interest</t>
        </is>
      </c>
      <c r="C20" s="6" t="inlineStr">
        <is>
          <t>USD mn</t>
        </is>
      </c>
      <c r="D20" s="13" t="n"/>
      <c r="E20" s="13" t="n"/>
      <c r="F20" s="13" t="n"/>
      <c r="G20" s="13" t="n"/>
      <c r="H20" s="14">
        <f>SUM(D20:G20)</f>
        <v/>
      </c>
      <c r="I20" s="13" t="n"/>
      <c r="J20" s="13" t="n"/>
      <c r="K20" s="13" t="n"/>
      <c r="L20" s="13" t="n"/>
      <c r="M20" s="14">
        <f>SUM(I20:L20)</f>
        <v/>
      </c>
      <c r="N20" s="13" t="n"/>
      <c r="O20" s="13" t="n"/>
      <c r="P20" s="13" t="n"/>
      <c r="Q20" s="13" t="n"/>
      <c r="R20" s="14">
        <f>SUM(N20:Q20)</f>
        <v/>
      </c>
      <c r="S20" s="13" t="n"/>
      <c r="T20" s="13" t="n"/>
      <c r="U20" s="13" t="n"/>
      <c r="V20" s="13" t="n"/>
      <c r="W20" s="14">
        <f>SUM(S20:V20)</f>
        <v/>
      </c>
      <c r="X20" s="13" t="n"/>
      <c r="Y20" s="13" t="n"/>
      <c r="Z20" s="13" t="n"/>
      <c r="AA20" s="13" t="n"/>
      <c r="AB20" s="14">
        <f>SUM(X20:AA20)</f>
        <v/>
      </c>
      <c r="AC20" s="13" t="n"/>
      <c r="AD20" s="13" t="n"/>
      <c r="AE20" s="13" t="n"/>
      <c r="AF20" s="13" t="n"/>
      <c r="AG20" s="14">
        <f>SUM(AC20:AF20)</f>
        <v/>
      </c>
      <c r="AH20" s="13" t="n"/>
      <c r="AI20" s="13" t="n"/>
      <c r="AJ20" s="13" t="n"/>
      <c r="AK20" s="13" t="n"/>
      <c r="AL20" s="14">
        <f>SUM(AH20:AK20)</f>
        <v/>
      </c>
      <c r="AM20" s="13" t="n">
        <v>0</v>
      </c>
      <c r="AN20" s="13" t="n">
        <v>0</v>
      </c>
      <c r="AO20" s="13" t="n">
        <v>0</v>
      </c>
      <c r="AP20" s="13" t="n">
        <v>0</v>
      </c>
      <c r="AQ20" s="14">
        <f>SUM(AM20:AP20)</f>
        <v/>
      </c>
      <c r="AR20" s="13" t="n">
        <v>0</v>
      </c>
      <c r="AS20" s="13" t="n">
        <v>0</v>
      </c>
      <c r="AT20" s="13" t="n">
        <v>0</v>
      </c>
      <c r="AU20" s="13" t="n">
        <v>0</v>
      </c>
      <c r="AV20" s="14">
        <f>SUM(AR20:AU20)</f>
        <v/>
      </c>
      <c r="AW20" s="13" t="n">
        <v>0</v>
      </c>
      <c r="AX20" s="13" t="n">
        <v>0</v>
      </c>
      <c r="AY20" s="13" t="n">
        <v>0</v>
      </c>
      <c r="AZ20" s="13" t="n">
        <v>0</v>
      </c>
      <c r="BA20" s="14">
        <f>SUM(AW20:AZ20)</f>
        <v/>
      </c>
      <c r="BB20" s="13" t="n">
        <v>0</v>
      </c>
    </row>
    <row r="21">
      <c r="B21" s="12" t="inlineStr">
        <is>
          <t>(=) Net income to shareholders</t>
        </is>
      </c>
      <c r="C21" s="6" t="inlineStr">
        <is>
          <t>USD mn</t>
        </is>
      </c>
      <c r="D21" s="13" t="n"/>
      <c r="E21" s="13" t="n"/>
      <c r="F21" s="13" t="n"/>
      <c r="G21" s="13" t="n"/>
      <c r="H21" s="14">
        <f>SUM(D21:G21)</f>
        <v/>
      </c>
      <c r="I21" s="13" t="n"/>
      <c r="J21" s="13" t="n"/>
      <c r="K21" s="13" t="n"/>
      <c r="L21" s="13" t="n"/>
      <c r="M21" s="14">
        <f>SUM(I21:L21)</f>
        <v/>
      </c>
      <c r="N21" s="13" t="n"/>
      <c r="O21" s="13" t="n"/>
      <c r="P21" s="13" t="n"/>
      <c r="Q21" s="13" t="n"/>
      <c r="R21" s="14">
        <f>SUM(N21:Q21)</f>
        <v/>
      </c>
      <c r="S21" s="13" t="n"/>
      <c r="T21" s="13" t="n"/>
      <c r="U21" s="13" t="n"/>
      <c r="V21" s="13" t="n"/>
      <c r="W21" s="14">
        <f>SUM(S21:V21)</f>
        <v/>
      </c>
      <c r="X21" s="13" t="n"/>
      <c r="Y21" s="13" t="n"/>
      <c r="Z21" s="13" t="n"/>
      <c r="AA21" s="13" t="n"/>
      <c r="AB21" s="14">
        <f>SUM(X21:AA21)</f>
        <v/>
      </c>
      <c r="AC21" s="13" t="n"/>
      <c r="AD21" s="13" t="n"/>
      <c r="AE21" s="13" t="n"/>
      <c r="AF21" s="13" t="n"/>
      <c r="AG21" s="14">
        <f>SUM(AC21:AF21)</f>
        <v/>
      </c>
      <c r="AH21" s="13" t="n"/>
      <c r="AI21" s="13" t="n"/>
      <c r="AJ21" s="13" t="n"/>
      <c r="AK21" s="13" t="n"/>
      <c r="AL21" s="14">
        <f>SUM(AH21:AK21)</f>
        <v/>
      </c>
      <c r="AM21" s="13" t="n">
        <v>285.0847</v>
      </c>
      <c r="AN21" s="13" t="n">
        <v>298.7857</v>
      </c>
      <c r="AO21" s="13" t="n">
        <v>291.0864</v>
      </c>
      <c r="AP21" s="13" t="n">
        <v>288.6313</v>
      </c>
      <c r="AQ21" s="14">
        <f>SUM(AM21:AP21)</f>
        <v/>
      </c>
      <c r="AR21" s="13" t="n">
        <v>297.0881</v>
      </c>
      <c r="AS21" s="13" t="n">
        <v>311.2128</v>
      </c>
      <c r="AT21" s="13" t="n">
        <v>303.0898</v>
      </c>
      <c r="AU21" s="13" t="n">
        <v>300.4228</v>
      </c>
      <c r="AV21" s="14">
        <f>SUM(AR21:AU21)</f>
        <v/>
      </c>
      <c r="AW21" s="13" t="n">
        <v>309.0915</v>
      </c>
      <c r="AX21" s="13" t="n">
        <v>323.64</v>
      </c>
      <c r="AY21" s="13" t="n">
        <v>315.0932</v>
      </c>
      <c r="AZ21" s="13" t="n">
        <v>312.2143</v>
      </c>
      <c r="BA21" s="14">
        <f>SUM(AW21:AZ21)</f>
        <v/>
      </c>
      <c r="BB21" s="13" t="n">
        <v>321.0949</v>
      </c>
    </row>
    <row r="22">
      <c r="B22" s="12" t="inlineStr">
        <is>
          <t>memo: (+) Depreciation, depletion &amp; amortization</t>
        </is>
      </c>
      <c r="C22" s="6" t="inlineStr">
        <is>
          <t>USD mn</t>
        </is>
      </c>
      <c r="D22" s="13" t="n"/>
      <c r="E22" s="13" t="n"/>
      <c r="F22" s="13" t="n"/>
      <c r="G22" s="13" t="n"/>
      <c r="H22" s="14">
        <f>SUM(D22:G22)</f>
        <v/>
      </c>
      <c r="I22" s="13" t="n"/>
      <c r="J22" s="13" t="n"/>
      <c r="K22" s="13" t="n"/>
      <c r="L22" s="13" t="n"/>
      <c r="M22" s="14">
        <f>SUM(I22:L22)</f>
        <v/>
      </c>
      <c r="N22" s="13" t="n"/>
      <c r="O22" s="13" t="n"/>
      <c r="P22" s="13" t="n"/>
      <c r="Q22" s="13" t="n"/>
      <c r="R22" s="14">
        <f>SUM(N22:Q22)</f>
        <v/>
      </c>
      <c r="S22" s="13" t="n"/>
      <c r="T22" s="13" t="n"/>
      <c r="U22" s="13" t="n"/>
      <c r="V22" s="13" t="n"/>
      <c r="W22" s="14">
        <f>SUM(S22:V22)</f>
        <v/>
      </c>
      <c r="X22" s="13" t="n"/>
      <c r="Y22" s="13" t="n"/>
      <c r="Z22" s="13" t="n"/>
      <c r="AA22" s="13" t="n"/>
      <c r="AB22" s="14">
        <f>SUM(X22:AA22)</f>
        <v/>
      </c>
      <c r="AC22" s="13" t="n"/>
      <c r="AD22" s="13" t="n"/>
      <c r="AE22" s="13" t="n"/>
      <c r="AF22" s="13" t="n"/>
      <c r="AG22" s="14">
        <f>SUM(AC22:AF22)</f>
        <v/>
      </c>
      <c r="AH22" s="13" t="n"/>
      <c r="AI22" s="13" t="n"/>
      <c r="AJ22" s="13" t="n"/>
      <c r="AK22" s="13" t="n"/>
      <c r="AL22" s="14">
        <f>SUM(AH22:AK22)</f>
        <v/>
      </c>
      <c r="AM22" s="13" t="n">
        <v>73.91249999999999</v>
      </c>
      <c r="AN22" s="13" t="n">
        <v>74.6516</v>
      </c>
      <c r="AO22" s="13" t="n">
        <v>75.3907</v>
      </c>
      <c r="AP22" s="13" t="n">
        <v>76.12990000000001</v>
      </c>
      <c r="AQ22" s="14">
        <f>SUM(AM22:AP22)</f>
        <v/>
      </c>
      <c r="AR22" s="13" t="n">
        <v>76.869</v>
      </c>
      <c r="AS22" s="13" t="n">
        <v>77.60809999999999</v>
      </c>
      <c r="AT22" s="13" t="n">
        <v>78.3473</v>
      </c>
      <c r="AU22" s="13" t="n">
        <v>79.0864</v>
      </c>
      <c r="AV22" s="14">
        <f>SUM(AR22:AU22)</f>
        <v/>
      </c>
      <c r="AW22" s="13" t="n">
        <v>79.82550000000001</v>
      </c>
      <c r="AX22" s="13" t="n">
        <v>80.5646</v>
      </c>
      <c r="AY22" s="13" t="n">
        <v>81.30370000000001</v>
      </c>
      <c r="AZ22" s="13" t="n">
        <v>82.0429</v>
      </c>
      <c r="BA22" s="14">
        <f>SUM(AW22:AZ22)</f>
        <v/>
      </c>
      <c r="BB22" s="13" t="n">
        <v>82.782</v>
      </c>
    </row>
    <row r="23">
      <c r="B23" s="12" t="inlineStr">
        <is>
          <t>memo: (=) EBITDA (as disclosed)</t>
        </is>
      </c>
      <c r="C23" s="6" t="inlineStr">
        <is>
          <t>USD mn</t>
        </is>
      </c>
      <c r="D23" s="13" t="n"/>
      <c r="E23" s="13" t="n"/>
      <c r="F23" s="13" t="n"/>
      <c r="G23" s="13" t="n"/>
      <c r="H23" s="14">
        <f>SUM(D23:G23)</f>
        <v/>
      </c>
      <c r="I23" s="13" t="n"/>
      <c r="J23" s="13" t="n"/>
      <c r="K23" s="13" t="n"/>
      <c r="L23" s="13" t="n"/>
      <c r="M23" s="14">
        <f>SUM(I23:L23)</f>
        <v/>
      </c>
      <c r="N23" s="13" t="n"/>
      <c r="O23" s="13" t="n"/>
      <c r="P23" s="13" t="n"/>
      <c r="Q23" s="13" t="n"/>
      <c r="R23" s="14">
        <f>SUM(N23:Q23)</f>
        <v/>
      </c>
      <c r="S23" s="13" t="n"/>
      <c r="T23" s="13" t="n"/>
      <c r="U23" s="13" t="n"/>
      <c r="V23" s="13" t="n"/>
      <c r="W23" s="14">
        <f>SUM(S23:V23)</f>
        <v/>
      </c>
      <c r="X23" s="13" t="n"/>
      <c r="Y23" s="13" t="n"/>
      <c r="Z23" s="13" t="n"/>
      <c r="AA23" s="13" t="n"/>
      <c r="AB23" s="14">
        <f>SUM(X23:AA23)</f>
        <v/>
      </c>
      <c r="AC23" s="13" t="n"/>
      <c r="AD23" s="13" t="n"/>
      <c r="AE23" s="13" t="n"/>
      <c r="AF23" s="13" t="n"/>
      <c r="AG23" s="14">
        <f>SUM(AC23:AF23)</f>
        <v/>
      </c>
      <c r="AH23" s="13" t="n"/>
      <c r="AI23" s="13" t="n"/>
      <c r="AJ23" s="13" t="n"/>
      <c r="AK23" s="13" t="n"/>
      <c r="AL23" s="14">
        <f>SUM(AH23:AK23)</f>
        <v/>
      </c>
      <c r="AM23" s="13" t="n">
        <v>466.0255</v>
      </c>
      <c r="AN23" s="13" t="n">
        <v>485.0325</v>
      </c>
      <c r="AO23" s="13" t="n">
        <v>475.506</v>
      </c>
      <c r="AP23" s="13" t="n">
        <v>472.9716</v>
      </c>
      <c r="AQ23" s="14">
        <f>SUM(AM23:AP23)</f>
        <v/>
      </c>
      <c r="AR23" s="13" t="n">
        <v>484.9865</v>
      </c>
      <c r="AS23" s="13" t="n">
        <v>504.5585</v>
      </c>
      <c r="AT23" s="13" t="n">
        <v>494.467</v>
      </c>
      <c r="AU23" s="13" t="n">
        <v>491.6501</v>
      </c>
      <c r="AV23" s="14">
        <f>SUM(AR23:AU23)</f>
        <v/>
      </c>
      <c r="AW23" s="13" t="n">
        <v>503.9475</v>
      </c>
      <c r="AX23" s="13" t="n">
        <v>524.0846</v>
      </c>
      <c r="AY23" s="13" t="n">
        <v>513.428</v>
      </c>
      <c r="AZ23" s="13" t="n">
        <v>510.3287</v>
      </c>
      <c r="BA23" s="14">
        <f>SUM(AW23:AZ23)</f>
        <v/>
      </c>
      <c r="BB23" s="13" t="n">
        <v>522.9086</v>
      </c>
    </row>
    <row r="24">
      <c r="B24" s="12" t="inlineStr">
        <is>
          <t>memo: EPS basic</t>
        </is>
      </c>
      <c r="C24" s="6" t="inlineStr">
        <is>
          <t>USD/sh</t>
        </is>
      </c>
      <c r="D24" s="15" t="n"/>
      <c r="E24" s="15" t="n"/>
      <c r="F24" s="15" t="n"/>
      <c r="G24" s="15" t="n"/>
      <c r="H24" s="16">
        <f>SUM(D24:G24)</f>
        <v/>
      </c>
      <c r="I24" s="15" t="n"/>
      <c r="J24" s="15" t="n"/>
      <c r="K24" s="15" t="n"/>
      <c r="L24" s="15" t="n"/>
      <c r="M24" s="16">
        <f>SUM(I24:L24)</f>
        <v/>
      </c>
      <c r="N24" s="15" t="n"/>
      <c r="O24" s="15" t="n"/>
      <c r="P24" s="15" t="n"/>
      <c r="Q24" s="15" t="n"/>
      <c r="R24" s="16">
        <f>SUM(N24:Q24)</f>
        <v/>
      </c>
      <c r="S24" s="15" t="n"/>
      <c r="T24" s="15" t="n"/>
      <c r="U24" s="15" t="n"/>
      <c r="V24" s="15" t="n"/>
      <c r="W24" s="16">
        <f>SUM(S24:V24)</f>
        <v/>
      </c>
      <c r="X24" s="15" t="n"/>
      <c r="Y24" s="15" t="n"/>
      <c r="Z24" s="15" t="n"/>
      <c r="AA24" s="15" t="n"/>
      <c r="AB24" s="16">
        <f>SUM(X24:AA24)</f>
        <v/>
      </c>
      <c r="AC24" s="15" t="n"/>
      <c r="AD24" s="15" t="n"/>
      <c r="AE24" s="15" t="n"/>
      <c r="AF24" s="15" t="n"/>
      <c r="AG24" s="16">
        <f>SUM(AC24:AF24)</f>
        <v/>
      </c>
      <c r="AH24" s="15" t="n"/>
      <c r="AI24" s="15" t="n"/>
      <c r="AJ24" s="15" t="n"/>
      <c r="AK24" s="15" t="n"/>
      <c r="AL24" s="16">
        <f>SUM(AH24:AK24)</f>
        <v/>
      </c>
      <c r="AM24" s="15" t="n">
        <v>0.5702</v>
      </c>
      <c r="AN24" s="15" t="n">
        <v>0.5976</v>
      </c>
      <c r="AO24" s="15" t="n">
        <v>0.5822000000000001</v>
      </c>
      <c r="AP24" s="15" t="n">
        <v>0.5773</v>
      </c>
      <c r="AQ24" s="16">
        <f>SUM(AM24:AP24)</f>
        <v/>
      </c>
      <c r="AR24" s="15" t="n">
        <v>0.5942</v>
      </c>
      <c r="AS24" s="15" t="n">
        <v>0.6224</v>
      </c>
      <c r="AT24" s="15" t="n">
        <v>0.6062</v>
      </c>
      <c r="AU24" s="15" t="n">
        <v>0.6008</v>
      </c>
      <c r="AV24" s="16">
        <f>SUM(AR24:AU24)</f>
        <v/>
      </c>
      <c r="AW24" s="15" t="n">
        <v>0.6182</v>
      </c>
      <c r="AX24" s="15" t="n">
        <v>0.6473</v>
      </c>
      <c r="AY24" s="15" t="n">
        <v>0.6302</v>
      </c>
      <c r="AZ24" s="15" t="n">
        <v>0.6244</v>
      </c>
      <c r="BA24" s="16">
        <f>SUM(AW24:AZ24)</f>
        <v/>
      </c>
      <c r="BB24" s="15" t="n">
        <v>0.6422</v>
      </c>
    </row>
    <row r="25">
      <c r="B25" s="12" t="inlineStr">
        <is>
          <t>memo: Shares outstanding (EOP)</t>
        </is>
      </c>
      <c r="C25" s="6" t="inlineStr">
        <is>
          <t>mn</t>
        </is>
      </c>
      <c r="D25" s="17" t="n"/>
      <c r="E25" s="17" t="n"/>
      <c r="F25" s="17" t="n"/>
      <c r="G25" s="17" t="n"/>
      <c r="H25" s="18">
        <f>G25</f>
        <v/>
      </c>
      <c r="I25" s="17" t="n"/>
      <c r="J25" s="17" t="n"/>
      <c r="K25" s="17" t="n"/>
      <c r="L25" s="17" t="n"/>
      <c r="M25" s="18">
        <f>L25</f>
        <v/>
      </c>
      <c r="N25" s="17" t="n"/>
      <c r="O25" s="17" t="n"/>
      <c r="P25" s="17" t="n"/>
      <c r="Q25" s="17" t="n"/>
      <c r="R25" s="18">
        <f>Q25</f>
        <v/>
      </c>
      <c r="S25" s="17" t="n"/>
      <c r="T25" s="17" t="n"/>
      <c r="U25" s="17" t="n"/>
      <c r="V25" s="17" t="n"/>
      <c r="W25" s="18">
        <f>V25</f>
        <v/>
      </c>
      <c r="X25" s="17" t="n"/>
      <c r="Y25" s="17" t="n"/>
      <c r="Z25" s="17" t="n"/>
      <c r="AA25" s="17" t="n"/>
      <c r="AB25" s="18">
        <f>AA25</f>
        <v/>
      </c>
      <c r="AC25" s="17" t="n"/>
      <c r="AD25" s="17" t="n"/>
      <c r="AE25" s="17" t="n"/>
      <c r="AF25" s="17" t="n"/>
      <c r="AG25" s="18">
        <f>AF25</f>
        <v/>
      </c>
      <c r="AH25" s="17" t="n"/>
      <c r="AI25" s="17" t="n"/>
      <c r="AJ25" s="17" t="n"/>
      <c r="AK25" s="17" t="n"/>
      <c r="AL25" s="18">
        <f>AK25</f>
        <v/>
      </c>
      <c r="AM25" s="17" t="n">
        <v>500</v>
      </c>
      <c r="AN25" s="17" t="n">
        <v>500</v>
      </c>
      <c r="AO25" s="17" t="n">
        <v>500</v>
      </c>
      <c r="AP25" s="17" t="n">
        <v>500</v>
      </c>
      <c r="AQ25" s="18">
        <f>AP25</f>
        <v/>
      </c>
      <c r="AR25" s="17" t="n">
        <v>500</v>
      </c>
      <c r="AS25" s="17" t="n">
        <v>500</v>
      </c>
      <c r="AT25" s="17" t="n">
        <v>500</v>
      </c>
      <c r="AU25" s="17" t="n">
        <v>500</v>
      </c>
      <c r="AV25" s="18">
        <f>AU25</f>
        <v/>
      </c>
      <c r="AW25" s="17" t="n">
        <v>500</v>
      </c>
      <c r="AX25" s="17" t="n">
        <v>500</v>
      </c>
      <c r="AY25" s="17" t="n">
        <v>500</v>
      </c>
      <c r="AZ25" s="17" t="n">
        <v>500</v>
      </c>
      <c r="BA25" s="18">
        <f>AZ25</f>
        <v/>
      </c>
      <c r="BB25" s="17" t="n">
        <v>500</v>
      </c>
    </row>
    <row r="26"/>
    <row r="27">
      <c r="B27" s="10" t="inlineStr">
        <is>
          <t>BALANCE SHEET (as reported)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</row>
    <row r="28">
      <c r="B28" s="12" t="inlineStr">
        <is>
          <t>Cash and equivalents</t>
        </is>
      </c>
      <c r="C28" s="6" t="inlineStr">
        <is>
          <t>USD mn</t>
        </is>
      </c>
      <c r="D28" s="13" t="n"/>
      <c r="E28" s="13" t="n"/>
      <c r="F28" s="13" t="n"/>
      <c r="G28" s="13" t="n"/>
      <c r="H28" s="14">
        <f>G28</f>
        <v/>
      </c>
      <c r="I28" s="13" t="n"/>
      <c r="J28" s="13" t="n"/>
      <c r="K28" s="13" t="n"/>
      <c r="L28" s="13" t="n"/>
      <c r="M28" s="14">
        <f>L28</f>
        <v/>
      </c>
      <c r="N28" s="13" t="n"/>
      <c r="O28" s="13" t="n"/>
      <c r="P28" s="13" t="n"/>
      <c r="Q28" s="13" t="n"/>
      <c r="R28" s="14">
        <f>Q28</f>
        <v/>
      </c>
      <c r="S28" s="13" t="n"/>
      <c r="T28" s="13" t="n"/>
      <c r="U28" s="13" t="n"/>
      <c r="V28" s="13" t="n"/>
      <c r="W28" s="14">
        <f>V28</f>
        <v/>
      </c>
      <c r="X28" s="13" t="n"/>
      <c r="Y28" s="13" t="n"/>
      <c r="Z28" s="13" t="n"/>
      <c r="AA28" s="13" t="n"/>
      <c r="AB28" s="14">
        <f>AA28</f>
        <v/>
      </c>
      <c r="AC28" s="13" t="n"/>
      <c r="AD28" s="13" t="n"/>
      <c r="AE28" s="13" t="n"/>
      <c r="AF28" s="13" t="n"/>
      <c r="AG28" s="14">
        <f>AF28</f>
        <v/>
      </c>
      <c r="AH28" s="13" t="n"/>
      <c r="AI28" s="13" t="n"/>
      <c r="AJ28" s="13" t="n"/>
      <c r="AK28" s="13" t="n"/>
      <c r="AL28" s="14">
        <f>AK28</f>
        <v/>
      </c>
      <c r="AM28" s="13" t="n">
        <v>973.9972</v>
      </c>
      <c r="AN28" s="13" t="n">
        <v>1287.4345</v>
      </c>
      <c r="AO28" s="13" t="n">
        <v>1593.9117</v>
      </c>
      <c r="AP28" s="13" t="n">
        <v>1898.6729</v>
      </c>
      <c r="AQ28" s="14">
        <f>AP28</f>
        <v/>
      </c>
      <c r="AR28" s="13" t="n">
        <v>2212.6301</v>
      </c>
      <c r="AS28" s="13" t="n">
        <v>2541.451</v>
      </c>
      <c r="AT28" s="13" t="n">
        <v>2862.8881</v>
      </c>
      <c r="AU28" s="13" t="n">
        <v>3182.3973</v>
      </c>
      <c r="AV28" s="14">
        <f>AU28</f>
        <v/>
      </c>
      <c r="AW28" s="13" t="n">
        <v>3511.3143</v>
      </c>
      <c r="AX28" s="13" t="n">
        <v>3855.5189</v>
      </c>
      <c r="AY28" s="13" t="n">
        <v>4191.9159</v>
      </c>
      <c r="AZ28" s="13" t="n">
        <v>4526.1731</v>
      </c>
      <c r="BA28" s="14">
        <f>AZ28</f>
        <v/>
      </c>
      <c r="BB28" s="13" t="n">
        <v>4870.05</v>
      </c>
    </row>
    <row r="29">
      <c r="B29" s="12" t="inlineStr">
        <is>
          <t>Short-term investments</t>
        </is>
      </c>
      <c r="C29" s="6" t="inlineStr">
        <is>
          <t>USD mn</t>
        </is>
      </c>
      <c r="D29" s="13" t="n"/>
      <c r="E29" s="13" t="n"/>
      <c r="F29" s="13" t="n"/>
      <c r="G29" s="13" t="n"/>
      <c r="H29" s="14">
        <f>G29</f>
        <v/>
      </c>
      <c r="I29" s="13" t="n"/>
      <c r="J29" s="13" t="n"/>
      <c r="K29" s="13" t="n"/>
      <c r="L29" s="13" t="n"/>
      <c r="M29" s="14">
        <f>L29</f>
        <v/>
      </c>
      <c r="N29" s="13" t="n"/>
      <c r="O29" s="13" t="n"/>
      <c r="P29" s="13" t="n"/>
      <c r="Q29" s="13" t="n"/>
      <c r="R29" s="14">
        <f>Q29</f>
        <v/>
      </c>
      <c r="S29" s="13" t="n"/>
      <c r="T29" s="13" t="n"/>
      <c r="U29" s="13" t="n"/>
      <c r="V29" s="13" t="n"/>
      <c r="W29" s="14">
        <f>V29</f>
        <v/>
      </c>
      <c r="X29" s="13" t="n"/>
      <c r="Y29" s="13" t="n"/>
      <c r="Z29" s="13" t="n"/>
      <c r="AA29" s="13" t="n"/>
      <c r="AB29" s="14">
        <f>AA29</f>
        <v/>
      </c>
      <c r="AC29" s="13" t="n"/>
      <c r="AD29" s="13" t="n"/>
      <c r="AE29" s="13" t="n"/>
      <c r="AF29" s="13" t="n"/>
      <c r="AG29" s="14">
        <f>AF29</f>
        <v/>
      </c>
      <c r="AH29" s="13" t="n"/>
      <c r="AI29" s="13" t="n"/>
      <c r="AJ29" s="13" t="n"/>
      <c r="AK29" s="13" t="n"/>
      <c r="AL29" s="14">
        <f>AK29</f>
        <v/>
      </c>
      <c r="AM29" s="13" t="n">
        <v>50</v>
      </c>
      <c r="AN29" s="13" t="n">
        <v>50</v>
      </c>
      <c r="AO29" s="13" t="n">
        <v>50</v>
      </c>
      <c r="AP29" s="13" t="n">
        <v>50</v>
      </c>
      <c r="AQ29" s="14">
        <f>AP29</f>
        <v/>
      </c>
      <c r="AR29" s="13" t="n">
        <v>50</v>
      </c>
      <c r="AS29" s="13" t="n">
        <v>50</v>
      </c>
      <c r="AT29" s="13" t="n">
        <v>50</v>
      </c>
      <c r="AU29" s="13" t="n">
        <v>50</v>
      </c>
      <c r="AV29" s="14">
        <f>AU29</f>
        <v/>
      </c>
      <c r="AW29" s="13" t="n">
        <v>50</v>
      </c>
      <c r="AX29" s="13" t="n">
        <v>50</v>
      </c>
      <c r="AY29" s="13" t="n">
        <v>50</v>
      </c>
      <c r="AZ29" s="13" t="n">
        <v>50</v>
      </c>
      <c r="BA29" s="14">
        <f>AZ29</f>
        <v/>
      </c>
      <c r="BB29" s="13" t="n">
        <v>50</v>
      </c>
    </row>
    <row r="30">
      <c r="B30" s="12" t="inlineStr">
        <is>
          <t>Trade receivables</t>
        </is>
      </c>
      <c r="C30" s="6" t="inlineStr">
        <is>
          <t>USD mn</t>
        </is>
      </c>
      <c r="D30" s="13" t="n"/>
      <c r="E30" s="13" t="n"/>
      <c r="F30" s="13" t="n"/>
      <c r="G30" s="13" t="n"/>
      <c r="H30" s="14">
        <f>G30</f>
        <v/>
      </c>
      <c r="I30" s="13" t="n"/>
      <c r="J30" s="13" t="n"/>
      <c r="K30" s="13" t="n"/>
      <c r="L30" s="13" t="n"/>
      <c r="M30" s="14">
        <f>L30</f>
        <v/>
      </c>
      <c r="N30" s="13" t="n"/>
      <c r="O30" s="13" t="n"/>
      <c r="P30" s="13" t="n"/>
      <c r="Q30" s="13" t="n"/>
      <c r="R30" s="14">
        <f>Q30</f>
        <v/>
      </c>
      <c r="S30" s="13" t="n"/>
      <c r="T30" s="13" t="n"/>
      <c r="U30" s="13" t="n"/>
      <c r="V30" s="13" t="n"/>
      <c r="W30" s="14">
        <f>V30</f>
        <v/>
      </c>
      <c r="X30" s="13" t="n"/>
      <c r="Y30" s="13" t="n"/>
      <c r="Z30" s="13" t="n"/>
      <c r="AA30" s="13" t="n"/>
      <c r="AB30" s="14">
        <f>AA30</f>
        <v/>
      </c>
      <c r="AC30" s="13" t="n"/>
      <c r="AD30" s="13" t="n"/>
      <c r="AE30" s="13" t="n"/>
      <c r="AF30" s="13" t="n"/>
      <c r="AG30" s="14">
        <f>AF30</f>
        <v/>
      </c>
      <c r="AH30" s="13" t="n"/>
      <c r="AI30" s="13" t="n"/>
      <c r="AJ30" s="13" t="n"/>
      <c r="AK30" s="13" t="n"/>
      <c r="AL30" s="14">
        <f>AK30</f>
        <v/>
      </c>
      <c r="AM30" s="13" t="n">
        <v>180</v>
      </c>
      <c r="AN30" s="13" t="n">
        <v>180</v>
      </c>
      <c r="AO30" s="13" t="n">
        <v>180</v>
      </c>
      <c r="AP30" s="13" t="n">
        <v>180</v>
      </c>
      <c r="AQ30" s="14">
        <f>AP30</f>
        <v/>
      </c>
      <c r="AR30" s="13" t="n">
        <v>180</v>
      </c>
      <c r="AS30" s="13" t="n">
        <v>180</v>
      </c>
      <c r="AT30" s="13" t="n">
        <v>180</v>
      </c>
      <c r="AU30" s="13" t="n">
        <v>180</v>
      </c>
      <c r="AV30" s="14">
        <f>AU30</f>
        <v/>
      </c>
      <c r="AW30" s="13" t="n">
        <v>180</v>
      </c>
      <c r="AX30" s="13" t="n">
        <v>180</v>
      </c>
      <c r="AY30" s="13" t="n">
        <v>180</v>
      </c>
      <c r="AZ30" s="13" t="n">
        <v>180</v>
      </c>
      <c r="BA30" s="14">
        <f>AZ30</f>
        <v/>
      </c>
      <c r="BB30" s="13" t="n">
        <v>180</v>
      </c>
    </row>
    <row r="31">
      <c r="B31" s="12" t="inlineStr">
        <is>
          <t>Inventories</t>
        </is>
      </c>
      <c r="C31" s="6" t="inlineStr">
        <is>
          <t>USD mn</t>
        </is>
      </c>
      <c r="D31" s="13" t="n"/>
      <c r="E31" s="13" t="n"/>
      <c r="F31" s="13" t="n"/>
      <c r="G31" s="13" t="n"/>
      <c r="H31" s="14">
        <f>G31</f>
        <v/>
      </c>
      <c r="I31" s="13" t="n"/>
      <c r="J31" s="13" t="n"/>
      <c r="K31" s="13" t="n"/>
      <c r="L31" s="13" t="n"/>
      <c r="M31" s="14">
        <f>L31</f>
        <v/>
      </c>
      <c r="N31" s="13" t="n"/>
      <c r="O31" s="13" t="n"/>
      <c r="P31" s="13" t="n"/>
      <c r="Q31" s="13" t="n"/>
      <c r="R31" s="14">
        <f>Q31</f>
        <v/>
      </c>
      <c r="S31" s="13" t="n"/>
      <c r="T31" s="13" t="n"/>
      <c r="U31" s="13" t="n"/>
      <c r="V31" s="13" t="n"/>
      <c r="W31" s="14">
        <f>V31</f>
        <v/>
      </c>
      <c r="X31" s="13" t="n"/>
      <c r="Y31" s="13" t="n"/>
      <c r="Z31" s="13" t="n"/>
      <c r="AA31" s="13" t="n"/>
      <c r="AB31" s="14">
        <f>AA31</f>
        <v/>
      </c>
      <c r="AC31" s="13" t="n"/>
      <c r="AD31" s="13" t="n"/>
      <c r="AE31" s="13" t="n"/>
      <c r="AF31" s="13" t="n"/>
      <c r="AG31" s="14">
        <f>AF31</f>
        <v/>
      </c>
      <c r="AH31" s="13" t="n"/>
      <c r="AI31" s="13" t="n"/>
      <c r="AJ31" s="13" t="n"/>
      <c r="AK31" s="13" t="n"/>
      <c r="AL31" s="14">
        <f>AK31</f>
        <v/>
      </c>
      <c r="AM31" s="13" t="n">
        <v>90</v>
      </c>
      <c r="AN31" s="13" t="n">
        <v>90</v>
      </c>
      <c r="AO31" s="13" t="n">
        <v>90</v>
      </c>
      <c r="AP31" s="13" t="n">
        <v>90</v>
      </c>
      <c r="AQ31" s="14">
        <f>AP31</f>
        <v/>
      </c>
      <c r="AR31" s="13" t="n">
        <v>90</v>
      </c>
      <c r="AS31" s="13" t="n">
        <v>90</v>
      </c>
      <c r="AT31" s="13" t="n">
        <v>90</v>
      </c>
      <c r="AU31" s="13" t="n">
        <v>90</v>
      </c>
      <c r="AV31" s="14">
        <f>AU31</f>
        <v/>
      </c>
      <c r="AW31" s="13" t="n">
        <v>90</v>
      </c>
      <c r="AX31" s="13" t="n">
        <v>90</v>
      </c>
      <c r="AY31" s="13" t="n">
        <v>90</v>
      </c>
      <c r="AZ31" s="13" t="n">
        <v>90</v>
      </c>
      <c r="BA31" s="14">
        <f>AZ31</f>
        <v/>
      </c>
      <c r="BB31" s="13" t="n">
        <v>90</v>
      </c>
    </row>
    <row r="32">
      <c r="B32" s="12" t="inlineStr">
        <is>
          <t>Other current assets</t>
        </is>
      </c>
      <c r="C32" s="6" t="inlineStr">
        <is>
          <t>USD mn</t>
        </is>
      </c>
      <c r="D32" s="13" t="n"/>
      <c r="E32" s="13" t="n"/>
      <c r="F32" s="13" t="n"/>
      <c r="G32" s="13" t="n"/>
      <c r="H32" s="14">
        <f>G32</f>
        <v/>
      </c>
      <c r="I32" s="13" t="n"/>
      <c r="J32" s="13" t="n"/>
      <c r="K32" s="13" t="n"/>
      <c r="L32" s="13" t="n"/>
      <c r="M32" s="14">
        <f>L32</f>
        <v/>
      </c>
      <c r="N32" s="13" t="n"/>
      <c r="O32" s="13" t="n"/>
      <c r="P32" s="13" t="n"/>
      <c r="Q32" s="13" t="n"/>
      <c r="R32" s="14">
        <f>Q32</f>
        <v/>
      </c>
      <c r="S32" s="13" t="n"/>
      <c r="T32" s="13" t="n"/>
      <c r="U32" s="13" t="n"/>
      <c r="V32" s="13" t="n"/>
      <c r="W32" s="14">
        <f>V32</f>
        <v/>
      </c>
      <c r="X32" s="13" t="n"/>
      <c r="Y32" s="13" t="n"/>
      <c r="Z32" s="13" t="n"/>
      <c r="AA32" s="13" t="n"/>
      <c r="AB32" s="14">
        <f>AA32</f>
        <v/>
      </c>
      <c r="AC32" s="13" t="n"/>
      <c r="AD32" s="13" t="n"/>
      <c r="AE32" s="13" t="n"/>
      <c r="AF32" s="13" t="n"/>
      <c r="AG32" s="14">
        <f>AF32</f>
        <v/>
      </c>
      <c r="AH32" s="13" t="n"/>
      <c r="AI32" s="13" t="n"/>
      <c r="AJ32" s="13" t="n"/>
      <c r="AK32" s="13" t="n"/>
      <c r="AL32" s="14">
        <f>AK32</f>
        <v/>
      </c>
      <c r="AM32" s="13" t="n">
        <v>40</v>
      </c>
      <c r="AN32" s="13" t="n">
        <v>40</v>
      </c>
      <c r="AO32" s="13" t="n">
        <v>40</v>
      </c>
      <c r="AP32" s="13" t="n">
        <v>40</v>
      </c>
      <c r="AQ32" s="14">
        <f>AP32</f>
        <v/>
      </c>
      <c r="AR32" s="13" t="n">
        <v>40</v>
      </c>
      <c r="AS32" s="13" t="n">
        <v>40</v>
      </c>
      <c r="AT32" s="13" t="n">
        <v>40</v>
      </c>
      <c r="AU32" s="13" t="n">
        <v>40</v>
      </c>
      <c r="AV32" s="14">
        <f>AU32</f>
        <v/>
      </c>
      <c r="AW32" s="13" t="n">
        <v>40</v>
      </c>
      <c r="AX32" s="13" t="n">
        <v>40</v>
      </c>
      <c r="AY32" s="13" t="n">
        <v>40</v>
      </c>
      <c r="AZ32" s="13" t="n">
        <v>40</v>
      </c>
      <c r="BA32" s="14">
        <f>AZ32</f>
        <v/>
      </c>
      <c r="BB32" s="13" t="n">
        <v>40</v>
      </c>
    </row>
    <row r="33">
      <c r="B33" s="12" t="inlineStr">
        <is>
          <t>(=) Total current assets</t>
        </is>
      </c>
      <c r="C33" s="6" t="inlineStr">
        <is>
          <t>USD mn</t>
        </is>
      </c>
      <c r="D33" s="13" t="n"/>
      <c r="E33" s="13" t="n"/>
      <c r="F33" s="13" t="n"/>
      <c r="G33" s="13" t="n"/>
      <c r="H33" s="14">
        <f>G33</f>
        <v/>
      </c>
      <c r="I33" s="13" t="n"/>
      <c r="J33" s="13" t="n"/>
      <c r="K33" s="13" t="n"/>
      <c r="L33" s="13" t="n"/>
      <c r="M33" s="14">
        <f>L33</f>
        <v/>
      </c>
      <c r="N33" s="13" t="n"/>
      <c r="O33" s="13" t="n"/>
      <c r="P33" s="13" t="n"/>
      <c r="Q33" s="13" t="n"/>
      <c r="R33" s="14">
        <f>Q33</f>
        <v/>
      </c>
      <c r="S33" s="13" t="n"/>
      <c r="T33" s="13" t="n"/>
      <c r="U33" s="13" t="n"/>
      <c r="V33" s="13" t="n"/>
      <c r="W33" s="14">
        <f>V33</f>
        <v/>
      </c>
      <c r="X33" s="13" t="n"/>
      <c r="Y33" s="13" t="n"/>
      <c r="Z33" s="13" t="n"/>
      <c r="AA33" s="13" t="n"/>
      <c r="AB33" s="14">
        <f>AA33</f>
        <v/>
      </c>
      <c r="AC33" s="13" t="n"/>
      <c r="AD33" s="13" t="n"/>
      <c r="AE33" s="13" t="n"/>
      <c r="AF33" s="13" t="n"/>
      <c r="AG33" s="14">
        <f>AF33</f>
        <v/>
      </c>
      <c r="AH33" s="13" t="n"/>
      <c r="AI33" s="13" t="n"/>
      <c r="AJ33" s="13" t="n"/>
      <c r="AK33" s="13" t="n"/>
      <c r="AL33" s="14">
        <f>AK33</f>
        <v/>
      </c>
      <c r="AM33" s="13" t="n">
        <v>1333.9972</v>
      </c>
      <c r="AN33" s="13" t="n">
        <v>1647.4345</v>
      </c>
      <c r="AO33" s="13" t="n">
        <v>1953.9117</v>
      </c>
      <c r="AP33" s="13" t="n">
        <v>2258.6729</v>
      </c>
      <c r="AQ33" s="14">
        <f>AP33</f>
        <v/>
      </c>
      <c r="AR33" s="13" t="n">
        <v>2572.6301</v>
      </c>
      <c r="AS33" s="13" t="n">
        <v>2901.451</v>
      </c>
      <c r="AT33" s="13" t="n">
        <v>3222.8881</v>
      </c>
      <c r="AU33" s="13" t="n">
        <v>3542.3973</v>
      </c>
      <c r="AV33" s="14">
        <f>AU33</f>
        <v/>
      </c>
      <c r="AW33" s="13" t="n">
        <v>3871.3143</v>
      </c>
      <c r="AX33" s="13" t="n">
        <v>4215.5189</v>
      </c>
      <c r="AY33" s="13" t="n">
        <v>4551.9159</v>
      </c>
      <c r="AZ33" s="13" t="n">
        <v>4886.1731</v>
      </c>
      <c r="BA33" s="14">
        <f>AZ33</f>
        <v/>
      </c>
      <c r="BB33" s="13" t="n">
        <v>5230.05</v>
      </c>
    </row>
    <row r="34">
      <c r="B34" s="12" t="inlineStr">
        <is>
          <t>PP&amp;E</t>
        </is>
      </c>
      <c r="C34" s="6" t="inlineStr">
        <is>
          <t>USD mn</t>
        </is>
      </c>
      <c r="D34" s="13" t="n"/>
      <c r="E34" s="13" t="n"/>
      <c r="F34" s="13" t="n"/>
      <c r="G34" s="13" t="n"/>
      <c r="H34" s="14">
        <f>G34</f>
        <v/>
      </c>
      <c r="I34" s="13" t="n"/>
      <c r="J34" s="13" t="n"/>
      <c r="K34" s="13" t="n"/>
      <c r="L34" s="13" t="n"/>
      <c r="M34" s="14">
        <f>L34</f>
        <v/>
      </c>
      <c r="N34" s="13" t="n"/>
      <c r="O34" s="13" t="n"/>
      <c r="P34" s="13" t="n"/>
      <c r="Q34" s="13" t="n"/>
      <c r="R34" s="14">
        <f>Q34</f>
        <v/>
      </c>
      <c r="S34" s="13" t="n"/>
      <c r="T34" s="13" t="n"/>
      <c r="U34" s="13" t="n"/>
      <c r="V34" s="13" t="n"/>
      <c r="W34" s="14">
        <f>V34</f>
        <v/>
      </c>
      <c r="X34" s="13" t="n"/>
      <c r="Y34" s="13" t="n"/>
      <c r="Z34" s="13" t="n"/>
      <c r="AA34" s="13" t="n"/>
      <c r="AB34" s="14">
        <f>AA34</f>
        <v/>
      </c>
      <c r="AC34" s="13" t="n"/>
      <c r="AD34" s="13" t="n"/>
      <c r="AE34" s="13" t="n"/>
      <c r="AF34" s="13" t="n"/>
      <c r="AG34" s="14">
        <f>AF34</f>
        <v/>
      </c>
      <c r="AH34" s="13" t="n"/>
      <c r="AI34" s="13" t="n"/>
      <c r="AJ34" s="13" t="n"/>
      <c r="AK34" s="13" t="n"/>
      <c r="AL34" s="14">
        <f>AK34</f>
        <v/>
      </c>
      <c r="AM34" s="13" t="n">
        <v>1486.0875</v>
      </c>
      <c r="AN34" s="13" t="n">
        <v>1471.4359</v>
      </c>
      <c r="AO34" s="13" t="n">
        <v>1456.0451</v>
      </c>
      <c r="AP34" s="13" t="n">
        <v>1439.9153</v>
      </c>
      <c r="AQ34" s="14">
        <f>AP34</f>
        <v/>
      </c>
      <c r="AR34" s="13" t="n">
        <v>1423.0463</v>
      </c>
      <c r="AS34" s="13" t="n">
        <v>1405.4381</v>
      </c>
      <c r="AT34" s="13" t="n">
        <v>1387.0909</v>
      </c>
      <c r="AU34" s="13" t="n">
        <v>1368.0045</v>
      </c>
      <c r="AV34" s="14">
        <f>AU34</f>
        <v/>
      </c>
      <c r="AW34" s="13" t="n">
        <v>1348.179</v>
      </c>
      <c r="AX34" s="13" t="n">
        <v>1327.6144</v>
      </c>
      <c r="AY34" s="13" t="n">
        <v>1306.3106</v>
      </c>
      <c r="AZ34" s="13" t="n">
        <v>1284.2677</v>
      </c>
      <c r="BA34" s="14">
        <f>AZ34</f>
        <v/>
      </c>
      <c r="BB34" s="13" t="n">
        <v>1261.4858</v>
      </c>
    </row>
    <row r="35">
      <c r="B35" s="12" t="inlineStr">
        <is>
          <t>Intangible assets and goodwill</t>
        </is>
      </c>
      <c r="C35" s="6" t="inlineStr">
        <is>
          <t>USD mn</t>
        </is>
      </c>
      <c r="D35" s="13" t="n"/>
      <c r="E35" s="13" t="n"/>
      <c r="F35" s="13" t="n"/>
      <c r="G35" s="13" t="n"/>
      <c r="H35" s="14">
        <f>G35</f>
        <v/>
      </c>
      <c r="I35" s="13" t="n"/>
      <c r="J35" s="13" t="n"/>
      <c r="K35" s="13" t="n"/>
      <c r="L35" s="13" t="n"/>
      <c r="M35" s="14">
        <f>L35</f>
        <v/>
      </c>
      <c r="N35" s="13" t="n"/>
      <c r="O35" s="13" t="n"/>
      <c r="P35" s="13" t="n"/>
      <c r="Q35" s="13" t="n"/>
      <c r="R35" s="14">
        <f>Q35</f>
        <v/>
      </c>
      <c r="S35" s="13" t="n"/>
      <c r="T35" s="13" t="n"/>
      <c r="U35" s="13" t="n"/>
      <c r="V35" s="13" t="n"/>
      <c r="W35" s="14">
        <f>V35</f>
        <v/>
      </c>
      <c r="X35" s="13" t="n"/>
      <c r="Y35" s="13" t="n"/>
      <c r="Z35" s="13" t="n"/>
      <c r="AA35" s="13" t="n"/>
      <c r="AB35" s="14">
        <f>AA35</f>
        <v/>
      </c>
      <c r="AC35" s="13" t="n"/>
      <c r="AD35" s="13" t="n"/>
      <c r="AE35" s="13" t="n"/>
      <c r="AF35" s="13" t="n"/>
      <c r="AG35" s="14">
        <f>AF35</f>
        <v/>
      </c>
      <c r="AH35" s="13" t="n"/>
      <c r="AI35" s="13" t="n"/>
      <c r="AJ35" s="13" t="n"/>
      <c r="AK35" s="13" t="n"/>
      <c r="AL35" s="14">
        <f>AK35</f>
        <v/>
      </c>
      <c r="AM35" s="13" t="n">
        <v>120</v>
      </c>
      <c r="AN35" s="13" t="n">
        <v>120</v>
      </c>
      <c r="AO35" s="13" t="n">
        <v>120</v>
      </c>
      <c r="AP35" s="13" t="n">
        <v>120</v>
      </c>
      <c r="AQ35" s="14">
        <f>AP35</f>
        <v/>
      </c>
      <c r="AR35" s="13" t="n">
        <v>120</v>
      </c>
      <c r="AS35" s="13" t="n">
        <v>120</v>
      </c>
      <c r="AT35" s="13" t="n">
        <v>120</v>
      </c>
      <c r="AU35" s="13" t="n">
        <v>120</v>
      </c>
      <c r="AV35" s="14">
        <f>AU35</f>
        <v/>
      </c>
      <c r="AW35" s="13" t="n">
        <v>120</v>
      </c>
      <c r="AX35" s="13" t="n">
        <v>120</v>
      </c>
      <c r="AY35" s="13" t="n">
        <v>120</v>
      </c>
      <c r="AZ35" s="13" t="n">
        <v>120</v>
      </c>
      <c r="BA35" s="14">
        <f>AZ35</f>
        <v/>
      </c>
      <c r="BB35" s="13" t="n">
        <v>120</v>
      </c>
    </row>
    <row r="36">
      <c r="B36" s="12" t="inlineStr">
        <is>
          <t>Right-of-use assets</t>
        </is>
      </c>
      <c r="C36" s="6" t="inlineStr">
        <is>
          <t>USD mn</t>
        </is>
      </c>
      <c r="D36" s="13" t="n"/>
      <c r="E36" s="13" t="n"/>
      <c r="F36" s="13" t="n"/>
      <c r="G36" s="13" t="n"/>
      <c r="H36" s="14">
        <f>G36</f>
        <v/>
      </c>
      <c r="I36" s="13" t="n"/>
      <c r="J36" s="13" t="n"/>
      <c r="K36" s="13" t="n"/>
      <c r="L36" s="13" t="n"/>
      <c r="M36" s="14">
        <f>L36</f>
        <v/>
      </c>
      <c r="N36" s="13" t="n"/>
      <c r="O36" s="13" t="n"/>
      <c r="P36" s="13" t="n"/>
      <c r="Q36" s="13" t="n"/>
      <c r="R36" s="14">
        <f>Q36</f>
        <v/>
      </c>
      <c r="S36" s="13" t="n"/>
      <c r="T36" s="13" t="n"/>
      <c r="U36" s="13" t="n"/>
      <c r="V36" s="13" t="n"/>
      <c r="W36" s="14">
        <f>V36</f>
        <v/>
      </c>
      <c r="X36" s="13" t="n"/>
      <c r="Y36" s="13" t="n"/>
      <c r="Z36" s="13" t="n"/>
      <c r="AA36" s="13" t="n"/>
      <c r="AB36" s="14">
        <f>AA36</f>
        <v/>
      </c>
      <c r="AC36" s="13" t="n"/>
      <c r="AD36" s="13" t="n"/>
      <c r="AE36" s="13" t="n"/>
      <c r="AF36" s="13" t="n"/>
      <c r="AG36" s="14">
        <f>AF36</f>
        <v/>
      </c>
      <c r="AH36" s="13" t="n"/>
      <c r="AI36" s="13" t="n"/>
      <c r="AJ36" s="13" t="n"/>
      <c r="AK36" s="13" t="n"/>
      <c r="AL36" s="14">
        <f>AK36</f>
        <v/>
      </c>
      <c r="AM36" s="13" t="n">
        <v>60</v>
      </c>
      <c r="AN36" s="13" t="n">
        <v>60</v>
      </c>
      <c r="AO36" s="13" t="n">
        <v>60</v>
      </c>
      <c r="AP36" s="13" t="n">
        <v>60</v>
      </c>
      <c r="AQ36" s="14">
        <f>AP36</f>
        <v/>
      </c>
      <c r="AR36" s="13" t="n">
        <v>60</v>
      </c>
      <c r="AS36" s="13" t="n">
        <v>60</v>
      </c>
      <c r="AT36" s="13" t="n">
        <v>60</v>
      </c>
      <c r="AU36" s="13" t="n">
        <v>60</v>
      </c>
      <c r="AV36" s="14">
        <f>AU36</f>
        <v/>
      </c>
      <c r="AW36" s="13" t="n">
        <v>60</v>
      </c>
      <c r="AX36" s="13" t="n">
        <v>60</v>
      </c>
      <c r="AY36" s="13" t="n">
        <v>60</v>
      </c>
      <c r="AZ36" s="13" t="n">
        <v>60</v>
      </c>
      <c r="BA36" s="14">
        <f>AZ36</f>
        <v/>
      </c>
      <c r="BB36" s="13" t="n">
        <v>60</v>
      </c>
    </row>
    <row r="37">
      <c r="B37" s="12" t="inlineStr">
        <is>
          <t>Deferred tax assets</t>
        </is>
      </c>
      <c r="C37" s="6" t="inlineStr">
        <is>
          <t>USD mn</t>
        </is>
      </c>
      <c r="D37" s="13" t="n"/>
      <c r="E37" s="13" t="n"/>
      <c r="F37" s="13" t="n"/>
      <c r="G37" s="13" t="n"/>
      <c r="H37" s="14">
        <f>G37</f>
        <v/>
      </c>
      <c r="I37" s="13" t="n"/>
      <c r="J37" s="13" t="n"/>
      <c r="K37" s="13" t="n"/>
      <c r="L37" s="13" t="n"/>
      <c r="M37" s="14">
        <f>L37</f>
        <v/>
      </c>
      <c r="N37" s="13" t="n"/>
      <c r="O37" s="13" t="n"/>
      <c r="P37" s="13" t="n"/>
      <c r="Q37" s="13" t="n"/>
      <c r="R37" s="14">
        <f>Q37</f>
        <v/>
      </c>
      <c r="S37" s="13" t="n"/>
      <c r="T37" s="13" t="n"/>
      <c r="U37" s="13" t="n"/>
      <c r="V37" s="13" t="n"/>
      <c r="W37" s="14">
        <f>V37</f>
        <v/>
      </c>
      <c r="X37" s="13" t="n"/>
      <c r="Y37" s="13" t="n"/>
      <c r="Z37" s="13" t="n"/>
      <c r="AA37" s="13" t="n"/>
      <c r="AB37" s="14">
        <f>AA37</f>
        <v/>
      </c>
      <c r="AC37" s="13" t="n"/>
      <c r="AD37" s="13" t="n"/>
      <c r="AE37" s="13" t="n"/>
      <c r="AF37" s="13" t="n"/>
      <c r="AG37" s="14">
        <f>AF37</f>
        <v/>
      </c>
      <c r="AH37" s="13" t="n"/>
      <c r="AI37" s="13" t="n"/>
      <c r="AJ37" s="13" t="n"/>
      <c r="AK37" s="13" t="n"/>
      <c r="AL37" s="14">
        <f>AK37</f>
        <v/>
      </c>
      <c r="AM37" s="13" t="n">
        <v>30</v>
      </c>
      <c r="AN37" s="13" t="n">
        <v>30</v>
      </c>
      <c r="AO37" s="13" t="n">
        <v>30</v>
      </c>
      <c r="AP37" s="13" t="n">
        <v>30</v>
      </c>
      <c r="AQ37" s="14">
        <f>AP37</f>
        <v/>
      </c>
      <c r="AR37" s="13" t="n">
        <v>30</v>
      </c>
      <c r="AS37" s="13" t="n">
        <v>30</v>
      </c>
      <c r="AT37" s="13" t="n">
        <v>30</v>
      </c>
      <c r="AU37" s="13" t="n">
        <v>30</v>
      </c>
      <c r="AV37" s="14">
        <f>AU37</f>
        <v/>
      </c>
      <c r="AW37" s="13" t="n">
        <v>30</v>
      </c>
      <c r="AX37" s="13" t="n">
        <v>30</v>
      </c>
      <c r="AY37" s="13" t="n">
        <v>30</v>
      </c>
      <c r="AZ37" s="13" t="n">
        <v>30</v>
      </c>
      <c r="BA37" s="14">
        <f>AZ37</f>
        <v/>
      </c>
      <c r="BB37" s="13" t="n">
        <v>30</v>
      </c>
    </row>
    <row r="38">
      <c r="B38" s="12" t="inlineStr">
        <is>
          <t>Other non-current assets</t>
        </is>
      </c>
      <c r="C38" s="6" t="inlineStr">
        <is>
          <t>USD mn</t>
        </is>
      </c>
      <c r="D38" s="13" t="n"/>
      <c r="E38" s="13" t="n"/>
      <c r="F38" s="13" t="n"/>
      <c r="G38" s="13" t="n"/>
      <c r="H38" s="14">
        <f>G38</f>
        <v/>
      </c>
      <c r="I38" s="13" t="n"/>
      <c r="J38" s="13" t="n"/>
      <c r="K38" s="13" t="n"/>
      <c r="L38" s="13" t="n"/>
      <c r="M38" s="14">
        <f>L38</f>
        <v/>
      </c>
      <c r="N38" s="13" t="n"/>
      <c r="O38" s="13" t="n"/>
      <c r="P38" s="13" t="n"/>
      <c r="Q38" s="13" t="n"/>
      <c r="R38" s="14">
        <f>Q38</f>
        <v/>
      </c>
      <c r="S38" s="13" t="n"/>
      <c r="T38" s="13" t="n"/>
      <c r="U38" s="13" t="n"/>
      <c r="V38" s="13" t="n"/>
      <c r="W38" s="14">
        <f>V38</f>
        <v/>
      </c>
      <c r="X38" s="13" t="n"/>
      <c r="Y38" s="13" t="n"/>
      <c r="Z38" s="13" t="n"/>
      <c r="AA38" s="13" t="n"/>
      <c r="AB38" s="14">
        <f>AA38</f>
        <v/>
      </c>
      <c r="AC38" s="13" t="n"/>
      <c r="AD38" s="13" t="n"/>
      <c r="AE38" s="13" t="n"/>
      <c r="AF38" s="13" t="n"/>
      <c r="AG38" s="14">
        <f>AF38</f>
        <v/>
      </c>
      <c r="AH38" s="13" t="n"/>
      <c r="AI38" s="13" t="n"/>
      <c r="AJ38" s="13" t="n"/>
      <c r="AK38" s="13" t="n"/>
      <c r="AL38" s="14">
        <f>AK38</f>
        <v/>
      </c>
      <c r="AM38" s="13" t="n">
        <v>45</v>
      </c>
      <c r="AN38" s="13" t="n">
        <v>45</v>
      </c>
      <c r="AO38" s="13" t="n">
        <v>45</v>
      </c>
      <c r="AP38" s="13" t="n">
        <v>45</v>
      </c>
      <c r="AQ38" s="14">
        <f>AP38</f>
        <v/>
      </c>
      <c r="AR38" s="13" t="n">
        <v>45</v>
      </c>
      <c r="AS38" s="13" t="n">
        <v>45</v>
      </c>
      <c r="AT38" s="13" t="n">
        <v>45</v>
      </c>
      <c r="AU38" s="13" t="n">
        <v>45</v>
      </c>
      <c r="AV38" s="14">
        <f>AU38</f>
        <v/>
      </c>
      <c r="AW38" s="13" t="n">
        <v>45</v>
      </c>
      <c r="AX38" s="13" t="n">
        <v>45</v>
      </c>
      <c r="AY38" s="13" t="n">
        <v>45</v>
      </c>
      <c r="AZ38" s="13" t="n">
        <v>45</v>
      </c>
      <c r="BA38" s="14">
        <f>AZ38</f>
        <v/>
      </c>
      <c r="BB38" s="13" t="n">
        <v>45</v>
      </c>
    </row>
    <row r="39">
      <c r="B39" s="12" t="inlineStr">
        <is>
          <t>(=) Total non-current assets</t>
        </is>
      </c>
      <c r="C39" s="6" t="inlineStr">
        <is>
          <t>USD mn</t>
        </is>
      </c>
      <c r="D39" s="13" t="n"/>
      <c r="E39" s="13" t="n"/>
      <c r="F39" s="13" t="n"/>
      <c r="G39" s="13" t="n"/>
      <c r="H39" s="14">
        <f>G39</f>
        <v/>
      </c>
      <c r="I39" s="13" t="n"/>
      <c r="J39" s="13" t="n"/>
      <c r="K39" s="13" t="n"/>
      <c r="L39" s="13" t="n"/>
      <c r="M39" s="14">
        <f>L39</f>
        <v/>
      </c>
      <c r="N39" s="13" t="n"/>
      <c r="O39" s="13" t="n"/>
      <c r="P39" s="13" t="n"/>
      <c r="Q39" s="13" t="n"/>
      <c r="R39" s="14">
        <f>Q39</f>
        <v/>
      </c>
      <c r="S39" s="13" t="n"/>
      <c r="T39" s="13" t="n"/>
      <c r="U39" s="13" t="n"/>
      <c r="V39" s="13" t="n"/>
      <c r="W39" s="14">
        <f>V39</f>
        <v/>
      </c>
      <c r="X39" s="13" t="n"/>
      <c r="Y39" s="13" t="n"/>
      <c r="Z39" s="13" t="n"/>
      <c r="AA39" s="13" t="n"/>
      <c r="AB39" s="14">
        <f>AA39</f>
        <v/>
      </c>
      <c r="AC39" s="13" t="n"/>
      <c r="AD39" s="13" t="n"/>
      <c r="AE39" s="13" t="n"/>
      <c r="AF39" s="13" t="n"/>
      <c r="AG39" s="14">
        <f>AF39</f>
        <v/>
      </c>
      <c r="AH39" s="13" t="n"/>
      <c r="AI39" s="13" t="n"/>
      <c r="AJ39" s="13" t="n"/>
      <c r="AK39" s="13" t="n"/>
      <c r="AL39" s="14">
        <f>AK39</f>
        <v/>
      </c>
      <c r="AM39" s="13" t="n">
        <v>1741.0875</v>
      </c>
      <c r="AN39" s="13" t="n">
        <v>1726.4359</v>
      </c>
      <c r="AO39" s="13" t="n">
        <v>1711.0451</v>
      </c>
      <c r="AP39" s="13" t="n">
        <v>1694.9153</v>
      </c>
      <c r="AQ39" s="14">
        <f>AP39</f>
        <v/>
      </c>
      <c r="AR39" s="13" t="n">
        <v>1678.0463</v>
      </c>
      <c r="AS39" s="13" t="n">
        <v>1660.4381</v>
      </c>
      <c r="AT39" s="13" t="n">
        <v>1642.0909</v>
      </c>
      <c r="AU39" s="13" t="n">
        <v>1623.0045</v>
      </c>
      <c r="AV39" s="14">
        <f>AU39</f>
        <v/>
      </c>
      <c r="AW39" s="13" t="n">
        <v>1603.179</v>
      </c>
      <c r="AX39" s="13" t="n">
        <v>1582.6144</v>
      </c>
      <c r="AY39" s="13" t="n">
        <v>1561.3106</v>
      </c>
      <c r="AZ39" s="13" t="n">
        <v>1539.2677</v>
      </c>
      <c r="BA39" s="14">
        <f>AZ39</f>
        <v/>
      </c>
      <c r="BB39" s="13" t="n">
        <v>1516.4858</v>
      </c>
    </row>
    <row r="40">
      <c r="B40" s="12" t="inlineStr">
        <is>
          <t>(=) Total assets</t>
        </is>
      </c>
      <c r="C40" s="6" t="inlineStr">
        <is>
          <t>USD mn</t>
        </is>
      </c>
      <c r="D40" s="13" t="n"/>
      <c r="E40" s="13" t="n"/>
      <c r="F40" s="13" t="n"/>
      <c r="G40" s="13" t="n"/>
      <c r="H40" s="14">
        <f>G40</f>
        <v/>
      </c>
      <c r="I40" s="13" t="n"/>
      <c r="J40" s="13" t="n"/>
      <c r="K40" s="13" t="n"/>
      <c r="L40" s="13" t="n"/>
      <c r="M40" s="14">
        <f>L40</f>
        <v/>
      </c>
      <c r="N40" s="13" t="n"/>
      <c r="O40" s="13" t="n"/>
      <c r="P40" s="13" t="n"/>
      <c r="Q40" s="13" t="n"/>
      <c r="R40" s="14">
        <f>Q40</f>
        <v/>
      </c>
      <c r="S40" s="13" t="n"/>
      <c r="T40" s="13" t="n"/>
      <c r="U40" s="13" t="n"/>
      <c r="V40" s="13" t="n"/>
      <c r="W40" s="14">
        <f>V40</f>
        <v/>
      </c>
      <c r="X40" s="13" t="n"/>
      <c r="Y40" s="13" t="n"/>
      <c r="Z40" s="13" t="n"/>
      <c r="AA40" s="13" t="n"/>
      <c r="AB40" s="14">
        <f>AA40</f>
        <v/>
      </c>
      <c r="AC40" s="13" t="n"/>
      <c r="AD40" s="13" t="n"/>
      <c r="AE40" s="13" t="n"/>
      <c r="AF40" s="13" t="n"/>
      <c r="AG40" s="14">
        <f>AF40</f>
        <v/>
      </c>
      <c r="AH40" s="13" t="n"/>
      <c r="AI40" s="13" t="n"/>
      <c r="AJ40" s="13" t="n"/>
      <c r="AK40" s="13" t="n"/>
      <c r="AL40" s="14">
        <f>AK40</f>
        <v/>
      </c>
      <c r="AM40" s="13" t="n">
        <v>3075.0847</v>
      </c>
      <c r="AN40" s="13" t="n">
        <v>3373.8704</v>
      </c>
      <c r="AO40" s="13" t="n">
        <v>3664.9569</v>
      </c>
      <c r="AP40" s="13" t="n">
        <v>3953.5882</v>
      </c>
      <c r="AQ40" s="14">
        <f>AP40</f>
        <v/>
      </c>
      <c r="AR40" s="13" t="n">
        <v>4250.6763</v>
      </c>
      <c r="AS40" s="13" t="n">
        <v>4561.8891</v>
      </c>
      <c r="AT40" s="13" t="n">
        <v>4864.979</v>
      </c>
      <c r="AU40" s="13" t="n">
        <v>5165.4018</v>
      </c>
      <c r="AV40" s="14">
        <f>AU40</f>
        <v/>
      </c>
      <c r="AW40" s="13" t="n">
        <v>5474.4933</v>
      </c>
      <c r="AX40" s="13" t="n">
        <v>5798.1333</v>
      </c>
      <c r="AY40" s="13" t="n">
        <v>6113.2265</v>
      </c>
      <c r="AZ40" s="13" t="n">
        <v>6425.4409</v>
      </c>
      <c r="BA40" s="14">
        <f>AZ40</f>
        <v/>
      </c>
      <c r="BB40" s="13" t="n">
        <v>6746.5358</v>
      </c>
    </row>
    <row r="41">
      <c r="B41" s="12" t="inlineStr">
        <is>
          <t>Trade payables</t>
        </is>
      </c>
      <c r="C41" s="6" t="inlineStr">
        <is>
          <t>USD mn</t>
        </is>
      </c>
      <c r="D41" s="13" t="n"/>
      <c r="E41" s="13" t="n"/>
      <c r="F41" s="13" t="n"/>
      <c r="G41" s="13" t="n"/>
      <c r="H41" s="14">
        <f>G41</f>
        <v/>
      </c>
      <c r="I41" s="13" t="n"/>
      <c r="J41" s="13" t="n"/>
      <c r="K41" s="13" t="n"/>
      <c r="L41" s="13" t="n"/>
      <c r="M41" s="14">
        <f>L41</f>
        <v/>
      </c>
      <c r="N41" s="13" t="n"/>
      <c r="O41" s="13" t="n"/>
      <c r="P41" s="13" t="n"/>
      <c r="Q41" s="13" t="n"/>
      <c r="R41" s="14">
        <f>Q41</f>
        <v/>
      </c>
      <c r="S41" s="13" t="n"/>
      <c r="T41" s="13" t="n"/>
      <c r="U41" s="13" t="n"/>
      <c r="V41" s="13" t="n"/>
      <c r="W41" s="14">
        <f>V41</f>
        <v/>
      </c>
      <c r="X41" s="13" t="n"/>
      <c r="Y41" s="13" t="n"/>
      <c r="Z41" s="13" t="n"/>
      <c r="AA41" s="13" t="n"/>
      <c r="AB41" s="14">
        <f>AA41</f>
        <v/>
      </c>
      <c r="AC41" s="13" t="n"/>
      <c r="AD41" s="13" t="n"/>
      <c r="AE41" s="13" t="n"/>
      <c r="AF41" s="13" t="n"/>
      <c r="AG41" s="14">
        <f>AF41</f>
        <v/>
      </c>
      <c r="AH41" s="13" t="n"/>
      <c r="AI41" s="13" t="n"/>
      <c r="AJ41" s="13" t="n"/>
      <c r="AK41" s="13" t="n"/>
      <c r="AL41" s="14">
        <f>AK41</f>
        <v/>
      </c>
      <c r="AM41" s="13" t="n">
        <v>110</v>
      </c>
      <c r="AN41" s="13" t="n">
        <v>110</v>
      </c>
      <c r="AO41" s="13" t="n">
        <v>110</v>
      </c>
      <c r="AP41" s="13" t="n">
        <v>110</v>
      </c>
      <c r="AQ41" s="14">
        <f>AP41</f>
        <v/>
      </c>
      <c r="AR41" s="13" t="n">
        <v>110</v>
      </c>
      <c r="AS41" s="13" t="n">
        <v>110</v>
      </c>
      <c r="AT41" s="13" t="n">
        <v>110</v>
      </c>
      <c r="AU41" s="13" t="n">
        <v>110</v>
      </c>
      <c r="AV41" s="14">
        <f>AU41</f>
        <v/>
      </c>
      <c r="AW41" s="13" t="n">
        <v>110</v>
      </c>
      <c r="AX41" s="13" t="n">
        <v>110</v>
      </c>
      <c r="AY41" s="13" t="n">
        <v>110</v>
      </c>
      <c r="AZ41" s="13" t="n">
        <v>110</v>
      </c>
      <c r="BA41" s="14">
        <f>AZ41</f>
        <v/>
      </c>
      <c r="BB41" s="13" t="n">
        <v>110</v>
      </c>
    </row>
    <row r="42">
      <c r="B42" s="12" t="inlineStr">
        <is>
          <t>Loans and financing (current)</t>
        </is>
      </c>
      <c r="C42" s="6" t="inlineStr">
        <is>
          <t>USD mn</t>
        </is>
      </c>
      <c r="D42" s="13" t="n"/>
      <c r="E42" s="13" t="n"/>
      <c r="F42" s="13" t="n"/>
      <c r="G42" s="13" t="n"/>
      <c r="H42" s="14">
        <f>G42</f>
        <v/>
      </c>
      <c r="I42" s="13" t="n"/>
      <c r="J42" s="13" t="n"/>
      <c r="K42" s="13" t="n"/>
      <c r="L42" s="13" t="n"/>
      <c r="M42" s="14">
        <f>L42</f>
        <v/>
      </c>
      <c r="N42" s="13" t="n"/>
      <c r="O42" s="13" t="n"/>
      <c r="P42" s="13" t="n"/>
      <c r="Q42" s="13" t="n"/>
      <c r="R42" s="14">
        <f>Q42</f>
        <v/>
      </c>
      <c r="S42" s="13" t="n"/>
      <c r="T42" s="13" t="n"/>
      <c r="U42" s="13" t="n"/>
      <c r="V42" s="13" t="n"/>
      <c r="W42" s="14">
        <f>V42</f>
        <v/>
      </c>
      <c r="X42" s="13" t="n"/>
      <c r="Y42" s="13" t="n"/>
      <c r="Z42" s="13" t="n"/>
      <c r="AA42" s="13" t="n"/>
      <c r="AB42" s="14">
        <f>AA42</f>
        <v/>
      </c>
      <c r="AC42" s="13" t="n"/>
      <c r="AD42" s="13" t="n"/>
      <c r="AE42" s="13" t="n"/>
      <c r="AF42" s="13" t="n"/>
      <c r="AG42" s="14">
        <f>AF42</f>
        <v/>
      </c>
      <c r="AH42" s="13" t="n"/>
      <c r="AI42" s="13" t="n"/>
      <c r="AJ42" s="13" t="n"/>
      <c r="AK42" s="13" t="n"/>
      <c r="AL42" s="14">
        <f>AK42</f>
        <v/>
      </c>
      <c r="AM42" s="13" t="n">
        <v>100</v>
      </c>
      <c r="AN42" s="13" t="n">
        <v>100</v>
      </c>
      <c r="AO42" s="13" t="n">
        <v>100</v>
      </c>
      <c r="AP42" s="13" t="n">
        <v>100</v>
      </c>
      <c r="AQ42" s="14">
        <f>AP42</f>
        <v/>
      </c>
      <c r="AR42" s="13" t="n">
        <v>100</v>
      </c>
      <c r="AS42" s="13" t="n">
        <v>100</v>
      </c>
      <c r="AT42" s="13" t="n">
        <v>100</v>
      </c>
      <c r="AU42" s="13" t="n">
        <v>100</v>
      </c>
      <c r="AV42" s="14">
        <f>AU42</f>
        <v/>
      </c>
      <c r="AW42" s="13" t="n">
        <v>100</v>
      </c>
      <c r="AX42" s="13" t="n">
        <v>100</v>
      </c>
      <c r="AY42" s="13" t="n">
        <v>100</v>
      </c>
      <c r="AZ42" s="13" t="n">
        <v>100</v>
      </c>
      <c r="BA42" s="14">
        <f>AZ42</f>
        <v/>
      </c>
      <c r="BB42" s="13" t="n">
        <v>100</v>
      </c>
    </row>
    <row r="43">
      <c r="B43" s="12" t="inlineStr">
        <is>
          <t>Lease liabilities (current)</t>
        </is>
      </c>
      <c r="C43" s="6" t="inlineStr">
        <is>
          <t>USD mn</t>
        </is>
      </c>
      <c r="D43" s="13" t="n"/>
      <c r="E43" s="13" t="n"/>
      <c r="F43" s="13" t="n"/>
      <c r="G43" s="13" t="n"/>
      <c r="H43" s="14">
        <f>G43</f>
        <v/>
      </c>
      <c r="I43" s="13" t="n"/>
      <c r="J43" s="13" t="n"/>
      <c r="K43" s="13" t="n"/>
      <c r="L43" s="13" t="n"/>
      <c r="M43" s="14">
        <f>L43</f>
        <v/>
      </c>
      <c r="N43" s="13" t="n"/>
      <c r="O43" s="13" t="n"/>
      <c r="P43" s="13" t="n"/>
      <c r="Q43" s="13" t="n"/>
      <c r="R43" s="14">
        <f>Q43</f>
        <v/>
      </c>
      <c r="S43" s="13" t="n"/>
      <c r="T43" s="13" t="n"/>
      <c r="U43" s="13" t="n"/>
      <c r="V43" s="13" t="n"/>
      <c r="W43" s="14">
        <f>V43</f>
        <v/>
      </c>
      <c r="X43" s="13" t="n"/>
      <c r="Y43" s="13" t="n"/>
      <c r="Z43" s="13" t="n"/>
      <c r="AA43" s="13" t="n"/>
      <c r="AB43" s="14">
        <f>AA43</f>
        <v/>
      </c>
      <c r="AC43" s="13" t="n"/>
      <c r="AD43" s="13" t="n"/>
      <c r="AE43" s="13" t="n"/>
      <c r="AF43" s="13" t="n"/>
      <c r="AG43" s="14">
        <f>AF43</f>
        <v/>
      </c>
      <c r="AH43" s="13" t="n"/>
      <c r="AI43" s="13" t="n"/>
      <c r="AJ43" s="13" t="n"/>
      <c r="AK43" s="13" t="n"/>
      <c r="AL43" s="14">
        <f>AK43</f>
        <v/>
      </c>
      <c r="AM43" s="13" t="n">
        <v>15</v>
      </c>
      <c r="AN43" s="13" t="n">
        <v>15</v>
      </c>
      <c r="AO43" s="13" t="n">
        <v>15</v>
      </c>
      <c r="AP43" s="13" t="n">
        <v>15</v>
      </c>
      <c r="AQ43" s="14">
        <f>AP43</f>
        <v/>
      </c>
      <c r="AR43" s="13" t="n">
        <v>15</v>
      </c>
      <c r="AS43" s="13" t="n">
        <v>15</v>
      </c>
      <c r="AT43" s="13" t="n">
        <v>15</v>
      </c>
      <c r="AU43" s="13" t="n">
        <v>15</v>
      </c>
      <c r="AV43" s="14">
        <f>AU43</f>
        <v/>
      </c>
      <c r="AW43" s="13" t="n">
        <v>15</v>
      </c>
      <c r="AX43" s="13" t="n">
        <v>15</v>
      </c>
      <c r="AY43" s="13" t="n">
        <v>15</v>
      </c>
      <c r="AZ43" s="13" t="n">
        <v>15</v>
      </c>
      <c r="BA43" s="14">
        <f>AZ43</f>
        <v/>
      </c>
      <c r="BB43" s="13" t="n">
        <v>15</v>
      </c>
    </row>
    <row r="44">
      <c r="B44" s="12" t="inlineStr">
        <is>
          <t>Other current liabilities</t>
        </is>
      </c>
      <c r="C44" s="6" t="inlineStr">
        <is>
          <t>USD mn</t>
        </is>
      </c>
      <c r="D44" s="13" t="n"/>
      <c r="E44" s="13" t="n"/>
      <c r="F44" s="13" t="n"/>
      <c r="G44" s="13" t="n"/>
      <c r="H44" s="14">
        <f>G44</f>
        <v/>
      </c>
      <c r="I44" s="13" t="n"/>
      <c r="J44" s="13" t="n"/>
      <c r="K44" s="13" t="n"/>
      <c r="L44" s="13" t="n"/>
      <c r="M44" s="14">
        <f>L44</f>
        <v/>
      </c>
      <c r="N44" s="13" t="n"/>
      <c r="O44" s="13" t="n"/>
      <c r="P44" s="13" t="n"/>
      <c r="Q44" s="13" t="n"/>
      <c r="R44" s="14">
        <f>Q44</f>
        <v/>
      </c>
      <c r="S44" s="13" t="n"/>
      <c r="T44" s="13" t="n"/>
      <c r="U44" s="13" t="n"/>
      <c r="V44" s="13" t="n"/>
      <c r="W44" s="14">
        <f>V44</f>
        <v/>
      </c>
      <c r="X44" s="13" t="n"/>
      <c r="Y44" s="13" t="n"/>
      <c r="Z44" s="13" t="n"/>
      <c r="AA44" s="13" t="n"/>
      <c r="AB44" s="14">
        <f>AA44</f>
        <v/>
      </c>
      <c r="AC44" s="13" t="n"/>
      <c r="AD44" s="13" t="n"/>
      <c r="AE44" s="13" t="n"/>
      <c r="AF44" s="13" t="n"/>
      <c r="AG44" s="14">
        <f>AF44</f>
        <v/>
      </c>
      <c r="AH44" s="13" t="n"/>
      <c r="AI44" s="13" t="n"/>
      <c r="AJ44" s="13" t="n"/>
      <c r="AK44" s="13" t="n"/>
      <c r="AL44" s="14">
        <f>AK44</f>
        <v/>
      </c>
      <c r="AM44" s="13" t="n">
        <v>55</v>
      </c>
      <c r="AN44" s="13" t="n">
        <v>55</v>
      </c>
      <c r="AO44" s="13" t="n">
        <v>55</v>
      </c>
      <c r="AP44" s="13" t="n">
        <v>55</v>
      </c>
      <c r="AQ44" s="14">
        <f>AP44</f>
        <v/>
      </c>
      <c r="AR44" s="13" t="n">
        <v>55</v>
      </c>
      <c r="AS44" s="13" t="n">
        <v>55</v>
      </c>
      <c r="AT44" s="13" t="n">
        <v>55</v>
      </c>
      <c r="AU44" s="13" t="n">
        <v>55</v>
      </c>
      <c r="AV44" s="14">
        <f>AU44</f>
        <v/>
      </c>
      <c r="AW44" s="13" t="n">
        <v>55</v>
      </c>
      <c r="AX44" s="13" t="n">
        <v>55</v>
      </c>
      <c r="AY44" s="13" t="n">
        <v>55</v>
      </c>
      <c r="AZ44" s="13" t="n">
        <v>55</v>
      </c>
      <c r="BA44" s="14">
        <f>AZ44</f>
        <v/>
      </c>
      <c r="BB44" s="13" t="n">
        <v>55</v>
      </c>
    </row>
    <row r="45">
      <c r="B45" s="12" t="inlineStr">
        <is>
          <t>(=) Total current liabilities</t>
        </is>
      </c>
      <c r="C45" s="6" t="inlineStr">
        <is>
          <t>USD mn</t>
        </is>
      </c>
      <c r="D45" s="13" t="n"/>
      <c r="E45" s="13" t="n"/>
      <c r="F45" s="13" t="n"/>
      <c r="G45" s="13" t="n"/>
      <c r="H45" s="14">
        <f>G45</f>
        <v/>
      </c>
      <c r="I45" s="13" t="n"/>
      <c r="J45" s="13" t="n"/>
      <c r="K45" s="13" t="n"/>
      <c r="L45" s="13" t="n"/>
      <c r="M45" s="14">
        <f>L45</f>
        <v/>
      </c>
      <c r="N45" s="13" t="n"/>
      <c r="O45" s="13" t="n"/>
      <c r="P45" s="13" t="n"/>
      <c r="Q45" s="13" t="n"/>
      <c r="R45" s="14">
        <f>Q45</f>
        <v/>
      </c>
      <c r="S45" s="13" t="n"/>
      <c r="T45" s="13" t="n"/>
      <c r="U45" s="13" t="n"/>
      <c r="V45" s="13" t="n"/>
      <c r="W45" s="14">
        <f>V45</f>
        <v/>
      </c>
      <c r="X45" s="13" t="n"/>
      <c r="Y45" s="13" t="n"/>
      <c r="Z45" s="13" t="n"/>
      <c r="AA45" s="13" t="n"/>
      <c r="AB45" s="14">
        <f>AA45</f>
        <v/>
      </c>
      <c r="AC45" s="13" t="n"/>
      <c r="AD45" s="13" t="n"/>
      <c r="AE45" s="13" t="n"/>
      <c r="AF45" s="13" t="n"/>
      <c r="AG45" s="14">
        <f>AF45</f>
        <v/>
      </c>
      <c r="AH45" s="13" t="n"/>
      <c r="AI45" s="13" t="n"/>
      <c r="AJ45" s="13" t="n"/>
      <c r="AK45" s="13" t="n"/>
      <c r="AL45" s="14">
        <f>AK45</f>
        <v/>
      </c>
      <c r="AM45" s="13" t="n">
        <v>280</v>
      </c>
      <c r="AN45" s="13" t="n">
        <v>280</v>
      </c>
      <c r="AO45" s="13" t="n">
        <v>280</v>
      </c>
      <c r="AP45" s="13" t="n">
        <v>280</v>
      </c>
      <c r="AQ45" s="14">
        <f>AP45</f>
        <v/>
      </c>
      <c r="AR45" s="13" t="n">
        <v>280</v>
      </c>
      <c r="AS45" s="13" t="n">
        <v>280</v>
      </c>
      <c r="AT45" s="13" t="n">
        <v>280</v>
      </c>
      <c r="AU45" s="13" t="n">
        <v>280</v>
      </c>
      <c r="AV45" s="14">
        <f>AU45</f>
        <v/>
      </c>
      <c r="AW45" s="13" t="n">
        <v>280</v>
      </c>
      <c r="AX45" s="13" t="n">
        <v>280</v>
      </c>
      <c r="AY45" s="13" t="n">
        <v>280</v>
      </c>
      <c r="AZ45" s="13" t="n">
        <v>280</v>
      </c>
      <c r="BA45" s="14">
        <f>AZ45</f>
        <v/>
      </c>
      <c r="BB45" s="13" t="n">
        <v>280</v>
      </c>
    </row>
    <row r="46">
      <c r="B46" s="12" t="inlineStr">
        <is>
          <t>Loans and financing (non-current)</t>
        </is>
      </c>
      <c r="C46" s="6" t="inlineStr">
        <is>
          <t>USD mn</t>
        </is>
      </c>
      <c r="D46" s="13" t="n"/>
      <c r="E46" s="13" t="n"/>
      <c r="F46" s="13" t="n"/>
      <c r="G46" s="13" t="n"/>
      <c r="H46" s="14">
        <f>G46</f>
        <v/>
      </c>
      <c r="I46" s="13" t="n"/>
      <c r="J46" s="13" t="n"/>
      <c r="K46" s="13" t="n"/>
      <c r="L46" s="13" t="n"/>
      <c r="M46" s="14">
        <f>L46</f>
        <v/>
      </c>
      <c r="N46" s="13" t="n"/>
      <c r="O46" s="13" t="n"/>
      <c r="P46" s="13" t="n"/>
      <c r="Q46" s="13" t="n"/>
      <c r="R46" s="14">
        <f>Q46</f>
        <v/>
      </c>
      <c r="S46" s="13" t="n"/>
      <c r="T46" s="13" t="n"/>
      <c r="U46" s="13" t="n"/>
      <c r="V46" s="13" t="n"/>
      <c r="W46" s="14">
        <f>V46</f>
        <v/>
      </c>
      <c r="X46" s="13" t="n"/>
      <c r="Y46" s="13" t="n"/>
      <c r="Z46" s="13" t="n"/>
      <c r="AA46" s="13" t="n"/>
      <c r="AB46" s="14">
        <f>AA46</f>
        <v/>
      </c>
      <c r="AC46" s="13" t="n"/>
      <c r="AD46" s="13" t="n"/>
      <c r="AE46" s="13" t="n"/>
      <c r="AF46" s="13" t="n"/>
      <c r="AG46" s="14">
        <f>AF46</f>
        <v/>
      </c>
      <c r="AH46" s="13" t="n"/>
      <c r="AI46" s="13" t="n"/>
      <c r="AJ46" s="13" t="n"/>
      <c r="AK46" s="13" t="n"/>
      <c r="AL46" s="14">
        <f>AK46</f>
        <v/>
      </c>
      <c r="AM46" s="13" t="n">
        <v>700</v>
      </c>
      <c r="AN46" s="13" t="n">
        <v>700</v>
      </c>
      <c r="AO46" s="13" t="n">
        <v>700</v>
      </c>
      <c r="AP46" s="13" t="n">
        <v>700</v>
      </c>
      <c r="AQ46" s="14">
        <f>AP46</f>
        <v/>
      </c>
      <c r="AR46" s="13" t="n">
        <v>700</v>
      </c>
      <c r="AS46" s="13" t="n">
        <v>700</v>
      </c>
      <c r="AT46" s="13" t="n">
        <v>700</v>
      </c>
      <c r="AU46" s="13" t="n">
        <v>700</v>
      </c>
      <c r="AV46" s="14">
        <f>AU46</f>
        <v/>
      </c>
      <c r="AW46" s="13" t="n">
        <v>700</v>
      </c>
      <c r="AX46" s="13" t="n">
        <v>700</v>
      </c>
      <c r="AY46" s="13" t="n">
        <v>700</v>
      </c>
      <c r="AZ46" s="13" t="n">
        <v>700</v>
      </c>
      <c r="BA46" s="14">
        <f>AZ46</f>
        <v/>
      </c>
      <c r="BB46" s="13" t="n">
        <v>700</v>
      </c>
    </row>
    <row r="47">
      <c r="B47" s="12" t="inlineStr">
        <is>
          <t>Lease liabilities (non-current)</t>
        </is>
      </c>
      <c r="C47" s="6" t="inlineStr">
        <is>
          <t>USD mn</t>
        </is>
      </c>
      <c r="D47" s="13" t="n"/>
      <c r="E47" s="13" t="n"/>
      <c r="F47" s="13" t="n"/>
      <c r="G47" s="13" t="n"/>
      <c r="H47" s="14">
        <f>G47</f>
        <v/>
      </c>
      <c r="I47" s="13" t="n"/>
      <c r="J47" s="13" t="n"/>
      <c r="K47" s="13" t="n"/>
      <c r="L47" s="13" t="n"/>
      <c r="M47" s="14">
        <f>L47</f>
        <v/>
      </c>
      <c r="N47" s="13" t="n"/>
      <c r="O47" s="13" t="n"/>
      <c r="P47" s="13" t="n"/>
      <c r="Q47" s="13" t="n"/>
      <c r="R47" s="14">
        <f>Q47</f>
        <v/>
      </c>
      <c r="S47" s="13" t="n"/>
      <c r="T47" s="13" t="n"/>
      <c r="U47" s="13" t="n"/>
      <c r="V47" s="13" t="n"/>
      <c r="W47" s="14">
        <f>V47</f>
        <v/>
      </c>
      <c r="X47" s="13" t="n"/>
      <c r="Y47" s="13" t="n"/>
      <c r="Z47" s="13" t="n"/>
      <c r="AA47" s="13" t="n"/>
      <c r="AB47" s="14">
        <f>AA47</f>
        <v/>
      </c>
      <c r="AC47" s="13" t="n"/>
      <c r="AD47" s="13" t="n"/>
      <c r="AE47" s="13" t="n"/>
      <c r="AF47" s="13" t="n"/>
      <c r="AG47" s="14">
        <f>AF47</f>
        <v/>
      </c>
      <c r="AH47" s="13" t="n"/>
      <c r="AI47" s="13" t="n"/>
      <c r="AJ47" s="13" t="n"/>
      <c r="AK47" s="13" t="n"/>
      <c r="AL47" s="14">
        <f>AK47</f>
        <v/>
      </c>
      <c r="AM47" s="13" t="n">
        <v>45</v>
      </c>
      <c r="AN47" s="13" t="n">
        <v>45</v>
      </c>
      <c r="AO47" s="13" t="n">
        <v>45</v>
      </c>
      <c r="AP47" s="13" t="n">
        <v>45</v>
      </c>
      <c r="AQ47" s="14">
        <f>AP47</f>
        <v/>
      </c>
      <c r="AR47" s="13" t="n">
        <v>45</v>
      </c>
      <c r="AS47" s="13" t="n">
        <v>45</v>
      </c>
      <c r="AT47" s="13" t="n">
        <v>45</v>
      </c>
      <c r="AU47" s="13" t="n">
        <v>45</v>
      </c>
      <c r="AV47" s="14">
        <f>AU47</f>
        <v/>
      </c>
      <c r="AW47" s="13" t="n">
        <v>45</v>
      </c>
      <c r="AX47" s="13" t="n">
        <v>45</v>
      </c>
      <c r="AY47" s="13" t="n">
        <v>45</v>
      </c>
      <c r="AZ47" s="13" t="n">
        <v>45</v>
      </c>
      <c r="BA47" s="14">
        <f>AZ47</f>
        <v/>
      </c>
      <c r="BB47" s="13" t="n">
        <v>45</v>
      </c>
    </row>
    <row r="48">
      <c r="B48" s="12" t="inlineStr">
        <is>
          <t>Provisions (incl. asset retirement obligation)</t>
        </is>
      </c>
      <c r="C48" s="6" t="inlineStr">
        <is>
          <t>USD mn</t>
        </is>
      </c>
      <c r="D48" s="13" t="n"/>
      <c r="E48" s="13" t="n"/>
      <c r="F48" s="13" t="n"/>
      <c r="G48" s="13" t="n"/>
      <c r="H48" s="14">
        <f>G48</f>
        <v/>
      </c>
      <c r="I48" s="13" t="n"/>
      <c r="J48" s="13" t="n"/>
      <c r="K48" s="13" t="n"/>
      <c r="L48" s="13" t="n"/>
      <c r="M48" s="14">
        <f>L48</f>
        <v/>
      </c>
      <c r="N48" s="13" t="n"/>
      <c r="O48" s="13" t="n"/>
      <c r="P48" s="13" t="n"/>
      <c r="Q48" s="13" t="n"/>
      <c r="R48" s="14">
        <f>Q48</f>
        <v/>
      </c>
      <c r="S48" s="13" t="n"/>
      <c r="T48" s="13" t="n"/>
      <c r="U48" s="13" t="n"/>
      <c r="V48" s="13" t="n"/>
      <c r="W48" s="14">
        <f>V48</f>
        <v/>
      </c>
      <c r="X48" s="13" t="n"/>
      <c r="Y48" s="13" t="n"/>
      <c r="Z48" s="13" t="n"/>
      <c r="AA48" s="13" t="n"/>
      <c r="AB48" s="14">
        <f>AA48</f>
        <v/>
      </c>
      <c r="AC48" s="13" t="n"/>
      <c r="AD48" s="13" t="n"/>
      <c r="AE48" s="13" t="n"/>
      <c r="AF48" s="13" t="n"/>
      <c r="AG48" s="14">
        <f>AF48</f>
        <v/>
      </c>
      <c r="AH48" s="13" t="n"/>
      <c r="AI48" s="13" t="n"/>
      <c r="AJ48" s="13" t="n"/>
      <c r="AK48" s="13" t="n"/>
      <c r="AL48" s="14">
        <f>AK48</f>
        <v/>
      </c>
      <c r="AM48" s="13" t="n">
        <v>250</v>
      </c>
      <c r="AN48" s="13" t="n">
        <v>250</v>
      </c>
      <c r="AO48" s="13" t="n">
        <v>250</v>
      </c>
      <c r="AP48" s="13" t="n">
        <v>250</v>
      </c>
      <c r="AQ48" s="14">
        <f>AP48</f>
        <v/>
      </c>
      <c r="AR48" s="13" t="n">
        <v>250</v>
      </c>
      <c r="AS48" s="13" t="n">
        <v>250</v>
      </c>
      <c r="AT48" s="13" t="n">
        <v>250</v>
      </c>
      <c r="AU48" s="13" t="n">
        <v>250</v>
      </c>
      <c r="AV48" s="14">
        <f>AU48</f>
        <v/>
      </c>
      <c r="AW48" s="13" t="n">
        <v>250</v>
      </c>
      <c r="AX48" s="13" t="n">
        <v>250</v>
      </c>
      <c r="AY48" s="13" t="n">
        <v>250</v>
      </c>
      <c r="AZ48" s="13" t="n">
        <v>250</v>
      </c>
      <c r="BA48" s="14">
        <f>AZ48</f>
        <v/>
      </c>
      <c r="BB48" s="13" t="n">
        <v>250</v>
      </c>
    </row>
    <row r="49">
      <c r="B49" s="12" t="inlineStr">
        <is>
          <t>Deferred tax liabilities</t>
        </is>
      </c>
      <c r="C49" s="6" t="inlineStr">
        <is>
          <t>USD mn</t>
        </is>
      </c>
      <c r="D49" s="13" t="n"/>
      <c r="E49" s="13" t="n"/>
      <c r="F49" s="13" t="n"/>
      <c r="G49" s="13" t="n"/>
      <c r="H49" s="14">
        <f>G49</f>
        <v/>
      </c>
      <c r="I49" s="13" t="n"/>
      <c r="J49" s="13" t="n"/>
      <c r="K49" s="13" t="n"/>
      <c r="L49" s="13" t="n"/>
      <c r="M49" s="14">
        <f>L49</f>
        <v/>
      </c>
      <c r="N49" s="13" t="n"/>
      <c r="O49" s="13" t="n"/>
      <c r="P49" s="13" t="n"/>
      <c r="Q49" s="13" t="n"/>
      <c r="R49" s="14">
        <f>Q49</f>
        <v/>
      </c>
      <c r="S49" s="13" t="n"/>
      <c r="T49" s="13" t="n"/>
      <c r="U49" s="13" t="n"/>
      <c r="V49" s="13" t="n"/>
      <c r="W49" s="14">
        <f>V49</f>
        <v/>
      </c>
      <c r="X49" s="13" t="n"/>
      <c r="Y49" s="13" t="n"/>
      <c r="Z49" s="13" t="n"/>
      <c r="AA49" s="13" t="n"/>
      <c r="AB49" s="14">
        <f>AA49</f>
        <v/>
      </c>
      <c r="AC49" s="13" t="n"/>
      <c r="AD49" s="13" t="n"/>
      <c r="AE49" s="13" t="n"/>
      <c r="AF49" s="13" t="n"/>
      <c r="AG49" s="14">
        <f>AF49</f>
        <v/>
      </c>
      <c r="AH49" s="13" t="n"/>
      <c r="AI49" s="13" t="n"/>
      <c r="AJ49" s="13" t="n"/>
      <c r="AK49" s="13" t="n"/>
      <c r="AL49" s="14">
        <f>AK49</f>
        <v/>
      </c>
      <c r="AM49" s="13" t="n">
        <v>80</v>
      </c>
      <c r="AN49" s="13" t="n">
        <v>80</v>
      </c>
      <c r="AO49" s="13" t="n">
        <v>80</v>
      </c>
      <c r="AP49" s="13" t="n">
        <v>80</v>
      </c>
      <c r="AQ49" s="14">
        <f>AP49</f>
        <v/>
      </c>
      <c r="AR49" s="13" t="n">
        <v>80</v>
      </c>
      <c r="AS49" s="13" t="n">
        <v>80</v>
      </c>
      <c r="AT49" s="13" t="n">
        <v>80</v>
      </c>
      <c r="AU49" s="13" t="n">
        <v>80</v>
      </c>
      <c r="AV49" s="14">
        <f>AU49</f>
        <v/>
      </c>
      <c r="AW49" s="13" t="n">
        <v>80</v>
      </c>
      <c r="AX49" s="13" t="n">
        <v>80</v>
      </c>
      <c r="AY49" s="13" t="n">
        <v>80</v>
      </c>
      <c r="AZ49" s="13" t="n">
        <v>80</v>
      </c>
      <c r="BA49" s="14">
        <f>AZ49</f>
        <v/>
      </c>
      <c r="BB49" s="13" t="n">
        <v>80</v>
      </c>
    </row>
    <row r="50">
      <c r="B50" s="12" t="inlineStr">
        <is>
          <t>Other non-current liabilities</t>
        </is>
      </c>
      <c r="C50" s="6" t="inlineStr">
        <is>
          <t>USD mn</t>
        </is>
      </c>
      <c r="D50" s="13" t="n"/>
      <c r="E50" s="13" t="n"/>
      <c r="F50" s="13" t="n"/>
      <c r="G50" s="13" t="n"/>
      <c r="H50" s="14">
        <f>G50</f>
        <v/>
      </c>
      <c r="I50" s="13" t="n"/>
      <c r="J50" s="13" t="n"/>
      <c r="K50" s="13" t="n"/>
      <c r="L50" s="13" t="n"/>
      <c r="M50" s="14">
        <f>L50</f>
        <v/>
      </c>
      <c r="N50" s="13" t="n"/>
      <c r="O50" s="13" t="n"/>
      <c r="P50" s="13" t="n"/>
      <c r="Q50" s="13" t="n"/>
      <c r="R50" s="14">
        <f>Q50</f>
        <v/>
      </c>
      <c r="S50" s="13" t="n"/>
      <c r="T50" s="13" t="n"/>
      <c r="U50" s="13" t="n"/>
      <c r="V50" s="13" t="n"/>
      <c r="W50" s="14">
        <f>V50</f>
        <v/>
      </c>
      <c r="X50" s="13" t="n"/>
      <c r="Y50" s="13" t="n"/>
      <c r="Z50" s="13" t="n"/>
      <c r="AA50" s="13" t="n"/>
      <c r="AB50" s="14">
        <f>AA50</f>
        <v/>
      </c>
      <c r="AC50" s="13" t="n"/>
      <c r="AD50" s="13" t="n"/>
      <c r="AE50" s="13" t="n"/>
      <c r="AF50" s="13" t="n"/>
      <c r="AG50" s="14">
        <f>AF50</f>
        <v/>
      </c>
      <c r="AH50" s="13" t="n"/>
      <c r="AI50" s="13" t="n"/>
      <c r="AJ50" s="13" t="n"/>
      <c r="AK50" s="13" t="n"/>
      <c r="AL50" s="14">
        <f>AK50</f>
        <v/>
      </c>
      <c r="AM50" s="13" t="n">
        <v>35</v>
      </c>
      <c r="AN50" s="13" t="n">
        <v>35</v>
      </c>
      <c r="AO50" s="13" t="n">
        <v>35</v>
      </c>
      <c r="AP50" s="13" t="n">
        <v>35</v>
      </c>
      <c r="AQ50" s="14">
        <f>AP50</f>
        <v/>
      </c>
      <c r="AR50" s="13" t="n">
        <v>35</v>
      </c>
      <c r="AS50" s="13" t="n">
        <v>35</v>
      </c>
      <c r="AT50" s="13" t="n">
        <v>35</v>
      </c>
      <c r="AU50" s="13" t="n">
        <v>35</v>
      </c>
      <c r="AV50" s="14">
        <f>AU50</f>
        <v/>
      </c>
      <c r="AW50" s="13" t="n">
        <v>35</v>
      </c>
      <c r="AX50" s="13" t="n">
        <v>35</v>
      </c>
      <c r="AY50" s="13" t="n">
        <v>35</v>
      </c>
      <c r="AZ50" s="13" t="n">
        <v>35</v>
      </c>
      <c r="BA50" s="14">
        <f>AZ50</f>
        <v/>
      </c>
      <c r="BB50" s="13" t="n">
        <v>35</v>
      </c>
    </row>
    <row r="51">
      <c r="B51" s="12" t="inlineStr">
        <is>
          <t>(=) Total liabilities</t>
        </is>
      </c>
      <c r="C51" s="6" t="inlineStr">
        <is>
          <t>USD mn</t>
        </is>
      </c>
      <c r="D51" s="13" t="n"/>
      <c r="E51" s="13" t="n"/>
      <c r="F51" s="13" t="n"/>
      <c r="G51" s="13" t="n"/>
      <c r="H51" s="14">
        <f>G51</f>
        <v/>
      </c>
      <c r="I51" s="13" t="n"/>
      <c r="J51" s="13" t="n"/>
      <c r="K51" s="13" t="n"/>
      <c r="L51" s="13" t="n"/>
      <c r="M51" s="14">
        <f>L51</f>
        <v/>
      </c>
      <c r="N51" s="13" t="n"/>
      <c r="O51" s="13" t="n"/>
      <c r="P51" s="13" t="n"/>
      <c r="Q51" s="13" t="n"/>
      <c r="R51" s="14">
        <f>Q51</f>
        <v/>
      </c>
      <c r="S51" s="13" t="n"/>
      <c r="T51" s="13" t="n"/>
      <c r="U51" s="13" t="n"/>
      <c r="V51" s="13" t="n"/>
      <c r="W51" s="14">
        <f>V51</f>
        <v/>
      </c>
      <c r="X51" s="13" t="n"/>
      <c r="Y51" s="13" t="n"/>
      <c r="Z51" s="13" t="n"/>
      <c r="AA51" s="13" t="n"/>
      <c r="AB51" s="14">
        <f>AA51</f>
        <v/>
      </c>
      <c r="AC51" s="13" t="n"/>
      <c r="AD51" s="13" t="n"/>
      <c r="AE51" s="13" t="n"/>
      <c r="AF51" s="13" t="n"/>
      <c r="AG51" s="14">
        <f>AF51</f>
        <v/>
      </c>
      <c r="AH51" s="13" t="n"/>
      <c r="AI51" s="13" t="n"/>
      <c r="AJ51" s="13" t="n"/>
      <c r="AK51" s="13" t="n"/>
      <c r="AL51" s="14">
        <f>AK51</f>
        <v/>
      </c>
      <c r="AM51" s="13" t="n">
        <v>1390</v>
      </c>
      <c r="AN51" s="13" t="n">
        <v>1390</v>
      </c>
      <c r="AO51" s="13" t="n">
        <v>1390</v>
      </c>
      <c r="AP51" s="13" t="n">
        <v>1390</v>
      </c>
      <c r="AQ51" s="14">
        <f>AP51</f>
        <v/>
      </c>
      <c r="AR51" s="13" t="n">
        <v>1390</v>
      </c>
      <c r="AS51" s="13" t="n">
        <v>1390</v>
      </c>
      <c r="AT51" s="13" t="n">
        <v>1390</v>
      </c>
      <c r="AU51" s="13" t="n">
        <v>1390</v>
      </c>
      <c r="AV51" s="14">
        <f>AU51</f>
        <v/>
      </c>
      <c r="AW51" s="13" t="n">
        <v>1390</v>
      </c>
      <c r="AX51" s="13" t="n">
        <v>1390</v>
      </c>
      <c r="AY51" s="13" t="n">
        <v>1390</v>
      </c>
      <c r="AZ51" s="13" t="n">
        <v>1390</v>
      </c>
      <c r="BA51" s="14">
        <f>AZ51</f>
        <v/>
      </c>
      <c r="BB51" s="13" t="n">
        <v>1390</v>
      </c>
    </row>
    <row r="52">
      <c r="B52" s="12" t="inlineStr">
        <is>
          <t>Share capital and reserves</t>
        </is>
      </c>
      <c r="C52" s="6" t="inlineStr">
        <is>
          <t>USD mn</t>
        </is>
      </c>
      <c r="D52" s="13" t="n"/>
      <c r="E52" s="13" t="n"/>
      <c r="F52" s="13" t="n"/>
      <c r="G52" s="13" t="n"/>
      <c r="H52" s="14">
        <f>G52</f>
        <v/>
      </c>
      <c r="I52" s="13" t="n"/>
      <c r="J52" s="13" t="n"/>
      <c r="K52" s="13" t="n"/>
      <c r="L52" s="13" t="n"/>
      <c r="M52" s="14">
        <f>L52</f>
        <v/>
      </c>
      <c r="N52" s="13" t="n"/>
      <c r="O52" s="13" t="n"/>
      <c r="P52" s="13" t="n"/>
      <c r="Q52" s="13" t="n"/>
      <c r="R52" s="14">
        <f>Q52</f>
        <v/>
      </c>
      <c r="S52" s="13" t="n"/>
      <c r="T52" s="13" t="n"/>
      <c r="U52" s="13" t="n"/>
      <c r="V52" s="13" t="n"/>
      <c r="W52" s="14">
        <f>V52</f>
        <v/>
      </c>
      <c r="X52" s="13" t="n"/>
      <c r="Y52" s="13" t="n"/>
      <c r="Z52" s="13" t="n"/>
      <c r="AA52" s="13" t="n"/>
      <c r="AB52" s="14">
        <f>AA52</f>
        <v/>
      </c>
      <c r="AC52" s="13" t="n"/>
      <c r="AD52" s="13" t="n"/>
      <c r="AE52" s="13" t="n"/>
      <c r="AF52" s="13" t="n"/>
      <c r="AG52" s="14">
        <f>AF52</f>
        <v/>
      </c>
      <c r="AH52" s="13" t="n"/>
      <c r="AI52" s="13" t="n"/>
      <c r="AJ52" s="13" t="n"/>
      <c r="AK52" s="13" t="n"/>
      <c r="AL52" s="14">
        <f>AK52</f>
        <v/>
      </c>
      <c r="AM52" s="13" t="n">
        <v>1000</v>
      </c>
      <c r="AN52" s="13" t="n">
        <v>1000</v>
      </c>
      <c r="AO52" s="13" t="n">
        <v>1000</v>
      </c>
      <c r="AP52" s="13" t="n">
        <v>1000</v>
      </c>
      <c r="AQ52" s="14">
        <f>AP52</f>
        <v/>
      </c>
      <c r="AR52" s="13" t="n">
        <v>1000</v>
      </c>
      <c r="AS52" s="13" t="n">
        <v>1000</v>
      </c>
      <c r="AT52" s="13" t="n">
        <v>1000</v>
      </c>
      <c r="AU52" s="13" t="n">
        <v>1000</v>
      </c>
      <c r="AV52" s="14">
        <f>AU52</f>
        <v/>
      </c>
      <c r="AW52" s="13" t="n">
        <v>1000</v>
      </c>
      <c r="AX52" s="13" t="n">
        <v>1000</v>
      </c>
      <c r="AY52" s="13" t="n">
        <v>1000</v>
      </c>
      <c r="AZ52" s="13" t="n">
        <v>1000</v>
      </c>
      <c r="BA52" s="14">
        <f>AZ52</f>
        <v/>
      </c>
      <c r="BB52" s="13" t="n">
        <v>1000</v>
      </c>
    </row>
    <row r="53">
      <c r="B53" s="12" t="inlineStr">
        <is>
          <t>Retained earnings (accumulated)</t>
        </is>
      </c>
      <c r="C53" s="6" t="inlineStr">
        <is>
          <t>USD mn</t>
        </is>
      </c>
      <c r="D53" s="13" t="n"/>
      <c r="E53" s="13" t="n"/>
      <c r="F53" s="13" t="n"/>
      <c r="G53" s="13" t="n"/>
      <c r="H53" s="14">
        <f>G53</f>
        <v/>
      </c>
      <c r="I53" s="13" t="n"/>
      <c r="J53" s="13" t="n"/>
      <c r="K53" s="13" t="n"/>
      <c r="L53" s="13" t="n"/>
      <c r="M53" s="14">
        <f>L53</f>
        <v/>
      </c>
      <c r="N53" s="13" t="n"/>
      <c r="O53" s="13" t="n"/>
      <c r="P53" s="13" t="n"/>
      <c r="Q53" s="13" t="n"/>
      <c r="R53" s="14">
        <f>Q53</f>
        <v/>
      </c>
      <c r="S53" s="13" t="n"/>
      <c r="T53" s="13" t="n"/>
      <c r="U53" s="13" t="n"/>
      <c r="V53" s="13" t="n"/>
      <c r="W53" s="14">
        <f>V53</f>
        <v/>
      </c>
      <c r="X53" s="13" t="n"/>
      <c r="Y53" s="13" t="n"/>
      <c r="Z53" s="13" t="n"/>
      <c r="AA53" s="13" t="n"/>
      <c r="AB53" s="14">
        <f>AA53</f>
        <v/>
      </c>
      <c r="AC53" s="13" t="n"/>
      <c r="AD53" s="13" t="n"/>
      <c r="AE53" s="13" t="n"/>
      <c r="AF53" s="13" t="n"/>
      <c r="AG53" s="14">
        <f>AF53</f>
        <v/>
      </c>
      <c r="AH53" s="13" t="n"/>
      <c r="AI53" s="13" t="n"/>
      <c r="AJ53" s="13" t="n"/>
      <c r="AK53" s="13" t="n"/>
      <c r="AL53" s="14">
        <f>AK53</f>
        <v/>
      </c>
      <c r="AM53" s="13" t="n">
        <v>685.0847</v>
      </c>
      <c r="AN53" s="13" t="n">
        <v>983.8704</v>
      </c>
      <c r="AO53" s="13" t="n">
        <v>1274.9569</v>
      </c>
      <c r="AP53" s="13" t="n">
        <v>1563.5882</v>
      </c>
      <c r="AQ53" s="14">
        <f>AP53</f>
        <v/>
      </c>
      <c r="AR53" s="13" t="n">
        <v>1860.6763</v>
      </c>
      <c r="AS53" s="13" t="n">
        <v>2171.8891</v>
      </c>
      <c r="AT53" s="13" t="n">
        <v>2474.979</v>
      </c>
      <c r="AU53" s="13" t="n">
        <v>2775.4018</v>
      </c>
      <c r="AV53" s="14">
        <f>AU53</f>
        <v/>
      </c>
      <c r="AW53" s="13" t="n">
        <v>3084.4933</v>
      </c>
      <c r="AX53" s="13" t="n">
        <v>3408.1333</v>
      </c>
      <c r="AY53" s="13" t="n">
        <v>3723.2265</v>
      </c>
      <c r="AZ53" s="13" t="n">
        <v>4035.4409</v>
      </c>
      <c r="BA53" s="14">
        <f>AZ53</f>
        <v/>
      </c>
      <c r="BB53" s="13" t="n">
        <v>4356.5358</v>
      </c>
    </row>
    <row r="54">
      <c r="B54" s="12" t="inlineStr">
        <is>
          <t>(=) Equity attributable to shareholders</t>
        </is>
      </c>
      <c r="C54" s="6" t="inlineStr">
        <is>
          <t>USD mn</t>
        </is>
      </c>
      <c r="D54" s="13" t="n"/>
      <c r="E54" s="13" t="n"/>
      <c r="F54" s="13" t="n"/>
      <c r="G54" s="13" t="n"/>
      <c r="H54" s="14">
        <f>G54</f>
        <v/>
      </c>
      <c r="I54" s="13" t="n"/>
      <c r="J54" s="13" t="n"/>
      <c r="K54" s="13" t="n"/>
      <c r="L54" s="13" t="n"/>
      <c r="M54" s="14">
        <f>L54</f>
        <v/>
      </c>
      <c r="N54" s="13" t="n"/>
      <c r="O54" s="13" t="n"/>
      <c r="P54" s="13" t="n"/>
      <c r="Q54" s="13" t="n"/>
      <c r="R54" s="14">
        <f>Q54</f>
        <v/>
      </c>
      <c r="S54" s="13" t="n"/>
      <c r="T54" s="13" t="n"/>
      <c r="U54" s="13" t="n"/>
      <c r="V54" s="13" t="n"/>
      <c r="W54" s="14">
        <f>V54</f>
        <v/>
      </c>
      <c r="X54" s="13" t="n"/>
      <c r="Y54" s="13" t="n"/>
      <c r="Z54" s="13" t="n"/>
      <c r="AA54" s="13" t="n"/>
      <c r="AB54" s="14">
        <f>AA54</f>
        <v/>
      </c>
      <c r="AC54" s="13" t="n"/>
      <c r="AD54" s="13" t="n"/>
      <c r="AE54" s="13" t="n"/>
      <c r="AF54" s="13" t="n"/>
      <c r="AG54" s="14">
        <f>AF54</f>
        <v/>
      </c>
      <c r="AH54" s="13" t="n"/>
      <c r="AI54" s="13" t="n"/>
      <c r="AJ54" s="13" t="n"/>
      <c r="AK54" s="13" t="n"/>
      <c r="AL54" s="14">
        <f>AK54</f>
        <v/>
      </c>
      <c r="AM54" s="13" t="n">
        <v>1685.0847</v>
      </c>
      <c r="AN54" s="13" t="n">
        <v>1983.8704</v>
      </c>
      <c r="AO54" s="13" t="n">
        <v>2274.9569</v>
      </c>
      <c r="AP54" s="13" t="n">
        <v>2563.5882</v>
      </c>
      <c r="AQ54" s="14">
        <f>AP54</f>
        <v/>
      </c>
      <c r="AR54" s="13" t="n">
        <v>2860.6763</v>
      </c>
      <c r="AS54" s="13" t="n">
        <v>3171.8891</v>
      </c>
      <c r="AT54" s="13" t="n">
        <v>3474.979</v>
      </c>
      <c r="AU54" s="13" t="n">
        <v>3775.4018</v>
      </c>
      <c r="AV54" s="14">
        <f>AU54</f>
        <v/>
      </c>
      <c r="AW54" s="13" t="n">
        <v>4084.4933</v>
      </c>
      <c r="AX54" s="13" t="n">
        <v>4408.1333</v>
      </c>
      <c r="AY54" s="13" t="n">
        <v>4723.2265</v>
      </c>
      <c r="AZ54" s="13" t="n">
        <v>5035.4409</v>
      </c>
      <c r="BA54" s="14">
        <f>AZ54</f>
        <v/>
      </c>
      <c r="BB54" s="13" t="n">
        <v>5356.5358</v>
      </c>
    </row>
    <row r="55">
      <c r="B55" s="12" t="inlineStr">
        <is>
          <t>Minority interest (equity)</t>
        </is>
      </c>
      <c r="C55" s="6" t="inlineStr">
        <is>
          <t>USD mn</t>
        </is>
      </c>
      <c r="D55" s="13" t="n"/>
      <c r="E55" s="13" t="n"/>
      <c r="F55" s="13" t="n"/>
      <c r="G55" s="13" t="n"/>
      <c r="H55" s="14">
        <f>G55</f>
        <v/>
      </c>
      <c r="I55" s="13" t="n"/>
      <c r="J55" s="13" t="n"/>
      <c r="K55" s="13" t="n"/>
      <c r="L55" s="13" t="n"/>
      <c r="M55" s="14">
        <f>L55</f>
        <v/>
      </c>
      <c r="N55" s="13" t="n"/>
      <c r="O55" s="13" t="n"/>
      <c r="P55" s="13" t="n"/>
      <c r="Q55" s="13" t="n"/>
      <c r="R55" s="14">
        <f>Q55</f>
        <v/>
      </c>
      <c r="S55" s="13" t="n"/>
      <c r="T55" s="13" t="n"/>
      <c r="U55" s="13" t="n"/>
      <c r="V55" s="13" t="n"/>
      <c r="W55" s="14">
        <f>V55</f>
        <v/>
      </c>
      <c r="X55" s="13" t="n"/>
      <c r="Y55" s="13" t="n"/>
      <c r="Z55" s="13" t="n"/>
      <c r="AA55" s="13" t="n"/>
      <c r="AB55" s="14">
        <f>AA55</f>
        <v/>
      </c>
      <c r="AC55" s="13" t="n"/>
      <c r="AD55" s="13" t="n"/>
      <c r="AE55" s="13" t="n"/>
      <c r="AF55" s="13" t="n"/>
      <c r="AG55" s="14">
        <f>AF55</f>
        <v/>
      </c>
      <c r="AH55" s="13" t="n"/>
      <c r="AI55" s="13" t="n"/>
      <c r="AJ55" s="13" t="n"/>
      <c r="AK55" s="13" t="n"/>
      <c r="AL55" s="14">
        <f>AK55</f>
        <v/>
      </c>
      <c r="AM55" s="13" t="n">
        <v>0</v>
      </c>
      <c r="AN55" s="13" t="n">
        <v>0</v>
      </c>
      <c r="AO55" s="13" t="n">
        <v>0</v>
      </c>
      <c r="AP55" s="13" t="n">
        <v>0</v>
      </c>
      <c r="AQ55" s="14">
        <f>AP55</f>
        <v/>
      </c>
      <c r="AR55" s="13" t="n">
        <v>0</v>
      </c>
      <c r="AS55" s="13" t="n">
        <v>0</v>
      </c>
      <c r="AT55" s="13" t="n">
        <v>0</v>
      </c>
      <c r="AU55" s="13" t="n">
        <v>0</v>
      </c>
      <c r="AV55" s="14">
        <f>AU55</f>
        <v/>
      </c>
      <c r="AW55" s="13" t="n">
        <v>0</v>
      </c>
      <c r="AX55" s="13" t="n">
        <v>0</v>
      </c>
      <c r="AY55" s="13" t="n">
        <v>0</v>
      </c>
      <c r="AZ55" s="13" t="n">
        <v>0</v>
      </c>
      <c r="BA55" s="14">
        <f>AZ55</f>
        <v/>
      </c>
      <c r="BB55" s="13" t="n">
        <v>0</v>
      </c>
    </row>
    <row r="56">
      <c r="B56" s="12" t="inlineStr">
        <is>
          <t>(=) Total equity</t>
        </is>
      </c>
      <c r="C56" s="6" t="inlineStr">
        <is>
          <t>USD mn</t>
        </is>
      </c>
      <c r="D56" s="13" t="n"/>
      <c r="E56" s="13" t="n"/>
      <c r="F56" s="13" t="n"/>
      <c r="G56" s="13" t="n"/>
      <c r="H56" s="14">
        <f>G56</f>
        <v/>
      </c>
      <c r="I56" s="13" t="n"/>
      <c r="J56" s="13" t="n"/>
      <c r="K56" s="13" t="n"/>
      <c r="L56" s="13" t="n"/>
      <c r="M56" s="14">
        <f>L56</f>
        <v/>
      </c>
      <c r="N56" s="13" t="n"/>
      <c r="O56" s="13" t="n"/>
      <c r="P56" s="13" t="n"/>
      <c r="Q56" s="13" t="n"/>
      <c r="R56" s="14">
        <f>Q56</f>
        <v/>
      </c>
      <c r="S56" s="13" t="n"/>
      <c r="T56" s="13" t="n"/>
      <c r="U56" s="13" t="n"/>
      <c r="V56" s="13" t="n"/>
      <c r="W56" s="14">
        <f>V56</f>
        <v/>
      </c>
      <c r="X56" s="13" t="n"/>
      <c r="Y56" s="13" t="n"/>
      <c r="Z56" s="13" t="n"/>
      <c r="AA56" s="13" t="n"/>
      <c r="AB56" s="14">
        <f>AA56</f>
        <v/>
      </c>
      <c r="AC56" s="13" t="n"/>
      <c r="AD56" s="13" t="n"/>
      <c r="AE56" s="13" t="n"/>
      <c r="AF56" s="13" t="n"/>
      <c r="AG56" s="14">
        <f>AF56</f>
        <v/>
      </c>
      <c r="AH56" s="13" t="n"/>
      <c r="AI56" s="13" t="n"/>
      <c r="AJ56" s="13" t="n"/>
      <c r="AK56" s="13" t="n"/>
      <c r="AL56" s="14">
        <f>AK56</f>
        <v/>
      </c>
      <c r="AM56" s="13" t="n">
        <v>1685.0847</v>
      </c>
      <c r="AN56" s="13" t="n">
        <v>1983.8704</v>
      </c>
      <c r="AO56" s="13" t="n">
        <v>2274.9569</v>
      </c>
      <c r="AP56" s="13" t="n">
        <v>2563.5882</v>
      </c>
      <c r="AQ56" s="14">
        <f>AP56</f>
        <v/>
      </c>
      <c r="AR56" s="13" t="n">
        <v>2860.6763</v>
      </c>
      <c r="AS56" s="13" t="n">
        <v>3171.8891</v>
      </c>
      <c r="AT56" s="13" t="n">
        <v>3474.979</v>
      </c>
      <c r="AU56" s="13" t="n">
        <v>3775.4018</v>
      </c>
      <c r="AV56" s="14">
        <f>AU56</f>
        <v/>
      </c>
      <c r="AW56" s="13" t="n">
        <v>4084.4933</v>
      </c>
      <c r="AX56" s="13" t="n">
        <v>4408.1333</v>
      </c>
      <c r="AY56" s="13" t="n">
        <v>4723.2265</v>
      </c>
      <c r="AZ56" s="13" t="n">
        <v>5035.4409</v>
      </c>
      <c r="BA56" s="14">
        <f>AZ56</f>
        <v/>
      </c>
      <c r="BB56" s="13" t="n">
        <v>5356.5358</v>
      </c>
    </row>
    <row r="57">
      <c r="B57" s="12" t="inlineStr">
        <is>
          <t>Balance check (assets − liab. − equity) = 0</t>
        </is>
      </c>
      <c r="C57" s="6" t="inlineStr">
        <is>
          <t>USD mn</t>
        </is>
      </c>
      <c r="D57" s="19">
        <f>D40-D51-D56</f>
        <v/>
      </c>
      <c r="E57" s="19">
        <f>E40-E51-E56</f>
        <v/>
      </c>
      <c r="F57" s="19">
        <f>F40-F51-F56</f>
        <v/>
      </c>
      <c r="G57" s="19">
        <f>G40-G51-G56</f>
        <v/>
      </c>
      <c r="H57" s="14">
        <f>H40-H51-H56</f>
        <v/>
      </c>
      <c r="I57" s="19">
        <f>I40-I51-I56</f>
        <v/>
      </c>
      <c r="J57" s="19">
        <f>J40-J51-J56</f>
        <v/>
      </c>
      <c r="K57" s="19">
        <f>K40-K51-K56</f>
        <v/>
      </c>
      <c r="L57" s="19">
        <f>L40-L51-L56</f>
        <v/>
      </c>
      <c r="M57" s="14">
        <f>M40-M51-M56</f>
        <v/>
      </c>
      <c r="N57" s="19">
        <f>N40-N51-N56</f>
        <v/>
      </c>
      <c r="O57" s="19">
        <f>O40-O51-O56</f>
        <v/>
      </c>
      <c r="P57" s="19">
        <f>P40-P51-P56</f>
        <v/>
      </c>
      <c r="Q57" s="19">
        <f>Q40-Q51-Q56</f>
        <v/>
      </c>
      <c r="R57" s="14">
        <f>R40-R51-R56</f>
        <v/>
      </c>
      <c r="S57" s="19">
        <f>S40-S51-S56</f>
        <v/>
      </c>
      <c r="T57" s="19">
        <f>T40-T51-T56</f>
        <v/>
      </c>
      <c r="U57" s="19">
        <f>U40-U51-U56</f>
        <v/>
      </c>
      <c r="V57" s="19">
        <f>V40-V51-V56</f>
        <v/>
      </c>
      <c r="W57" s="14">
        <f>W40-W51-W56</f>
        <v/>
      </c>
      <c r="X57" s="19">
        <f>X40-X51-X56</f>
        <v/>
      </c>
      <c r="Y57" s="19">
        <f>Y40-Y51-Y56</f>
        <v/>
      </c>
      <c r="Z57" s="19">
        <f>Z40-Z51-Z56</f>
        <v/>
      </c>
      <c r="AA57" s="19">
        <f>AA40-AA51-AA56</f>
        <v/>
      </c>
      <c r="AB57" s="14">
        <f>AB40-AB51-AB56</f>
        <v/>
      </c>
      <c r="AC57" s="19">
        <f>AC40-AC51-AC56</f>
        <v/>
      </c>
      <c r="AD57" s="19">
        <f>AD40-AD51-AD56</f>
        <v/>
      </c>
      <c r="AE57" s="19">
        <f>AE40-AE51-AE56</f>
        <v/>
      </c>
      <c r="AF57" s="19">
        <f>AF40-AF51-AF56</f>
        <v/>
      </c>
      <c r="AG57" s="14">
        <f>AG40-AG51-AG56</f>
        <v/>
      </c>
      <c r="AH57" s="19">
        <f>AH40-AH51-AH56</f>
        <v/>
      </c>
      <c r="AI57" s="19">
        <f>AI40-AI51-AI56</f>
        <v/>
      </c>
      <c r="AJ57" s="19">
        <f>AJ40-AJ51-AJ56</f>
        <v/>
      </c>
      <c r="AK57" s="19">
        <f>AK40-AK51-AK56</f>
        <v/>
      </c>
      <c r="AL57" s="14">
        <f>AL40-AL51-AL56</f>
        <v/>
      </c>
      <c r="AM57" s="19">
        <f>AM40-AM51-AM56</f>
        <v/>
      </c>
      <c r="AN57" s="19">
        <f>AN40-AN51-AN56</f>
        <v/>
      </c>
      <c r="AO57" s="19">
        <f>AO40-AO51-AO56</f>
        <v/>
      </c>
      <c r="AP57" s="19">
        <f>AP40-AP51-AP56</f>
        <v/>
      </c>
      <c r="AQ57" s="14">
        <f>AQ40-AQ51-AQ56</f>
        <v/>
      </c>
      <c r="AR57" s="19">
        <f>AR40-AR51-AR56</f>
        <v/>
      </c>
      <c r="AS57" s="19">
        <f>AS40-AS51-AS56</f>
        <v/>
      </c>
      <c r="AT57" s="19">
        <f>AT40-AT51-AT56</f>
        <v/>
      </c>
      <c r="AU57" s="19">
        <f>AU40-AU51-AU56</f>
        <v/>
      </c>
      <c r="AV57" s="14">
        <f>AV40-AV51-AV56</f>
        <v/>
      </c>
      <c r="AW57" s="19">
        <f>AW40-AW51-AW56</f>
        <v/>
      </c>
      <c r="AX57" s="19">
        <f>AX40-AX51-AX56</f>
        <v/>
      </c>
      <c r="AY57" s="19">
        <f>AY40-AY51-AY56</f>
        <v/>
      </c>
      <c r="AZ57" s="19">
        <f>AZ40-AZ51-AZ56</f>
        <v/>
      </c>
      <c r="BA57" s="14">
        <f>BA40-BA51-BA56</f>
        <v/>
      </c>
      <c r="BB57" s="19">
        <f>BB40-BB51-BB56</f>
        <v/>
      </c>
    </row>
    <row r="58"/>
    <row r="59">
      <c r="B59" s="10" t="inlineStr">
        <is>
          <t>CASH FLOW STATEMENT (as reported)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</row>
    <row r="60">
      <c r="B60" s="12" t="inlineStr">
        <is>
          <t>(=) Net income (CF basis)</t>
        </is>
      </c>
      <c r="C60" s="6" t="inlineStr">
        <is>
          <t>USD mn</t>
        </is>
      </c>
      <c r="D60" s="13" t="n"/>
      <c r="E60" s="13" t="n"/>
      <c r="F60" s="13" t="n"/>
      <c r="G60" s="13" t="n"/>
      <c r="H60" s="14">
        <f>SUM(D60:G60)</f>
        <v/>
      </c>
      <c r="I60" s="13" t="n"/>
      <c r="J60" s="13" t="n"/>
      <c r="K60" s="13" t="n"/>
      <c r="L60" s="13" t="n"/>
      <c r="M60" s="14">
        <f>SUM(I60:L60)</f>
        <v/>
      </c>
      <c r="N60" s="13" t="n"/>
      <c r="O60" s="13" t="n"/>
      <c r="P60" s="13" t="n"/>
      <c r="Q60" s="13" t="n"/>
      <c r="R60" s="14">
        <f>SUM(N60:Q60)</f>
        <v/>
      </c>
      <c r="S60" s="13" t="n"/>
      <c r="T60" s="13" t="n"/>
      <c r="U60" s="13" t="n"/>
      <c r="V60" s="13" t="n"/>
      <c r="W60" s="14">
        <f>SUM(S60:V60)</f>
        <v/>
      </c>
      <c r="X60" s="13" t="n"/>
      <c r="Y60" s="13" t="n"/>
      <c r="Z60" s="13" t="n"/>
      <c r="AA60" s="13" t="n"/>
      <c r="AB60" s="14">
        <f>SUM(X60:AA60)</f>
        <v/>
      </c>
      <c r="AC60" s="13" t="n"/>
      <c r="AD60" s="13" t="n"/>
      <c r="AE60" s="13" t="n"/>
      <c r="AF60" s="13" t="n"/>
      <c r="AG60" s="14">
        <f>SUM(AC60:AF60)</f>
        <v/>
      </c>
      <c r="AH60" s="13" t="n"/>
      <c r="AI60" s="13" t="n"/>
      <c r="AJ60" s="13" t="n"/>
      <c r="AK60" s="13" t="n"/>
      <c r="AL60" s="14">
        <f>SUM(AH60:AK60)</f>
        <v/>
      </c>
      <c r="AM60" s="13" t="n">
        <v>285.0847</v>
      </c>
      <c r="AN60" s="13" t="n">
        <v>298.7857</v>
      </c>
      <c r="AO60" s="13" t="n">
        <v>291.0864</v>
      </c>
      <c r="AP60" s="13" t="n">
        <v>288.6313</v>
      </c>
      <c r="AQ60" s="14">
        <f>SUM(AM60:AP60)</f>
        <v/>
      </c>
      <c r="AR60" s="13" t="n">
        <v>297.0881</v>
      </c>
      <c r="AS60" s="13" t="n">
        <v>311.2128</v>
      </c>
      <c r="AT60" s="13" t="n">
        <v>303.0898</v>
      </c>
      <c r="AU60" s="13" t="n">
        <v>300.4228</v>
      </c>
      <c r="AV60" s="14">
        <f>SUM(AR60:AU60)</f>
        <v/>
      </c>
      <c r="AW60" s="13" t="n">
        <v>309.0915</v>
      </c>
      <c r="AX60" s="13" t="n">
        <v>323.64</v>
      </c>
      <c r="AY60" s="13" t="n">
        <v>315.0932</v>
      </c>
      <c r="AZ60" s="13" t="n">
        <v>312.2143</v>
      </c>
      <c r="BA60" s="14">
        <f>SUM(AW60:AZ60)</f>
        <v/>
      </c>
      <c r="BB60" s="13" t="n">
        <v>321.0949</v>
      </c>
    </row>
    <row r="61">
      <c r="B61" s="12" t="inlineStr">
        <is>
          <t>(+) D&amp;A and non-cash items</t>
        </is>
      </c>
      <c r="C61" s="6" t="inlineStr">
        <is>
          <t>USD mn</t>
        </is>
      </c>
      <c r="D61" s="13" t="n"/>
      <c r="E61" s="13" t="n"/>
      <c r="F61" s="13" t="n"/>
      <c r="G61" s="13" t="n"/>
      <c r="H61" s="14">
        <f>SUM(D61:G61)</f>
        <v/>
      </c>
      <c r="I61" s="13" t="n"/>
      <c r="J61" s="13" t="n"/>
      <c r="K61" s="13" t="n"/>
      <c r="L61" s="13" t="n"/>
      <c r="M61" s="14">
        <f>SUM(I61:L61)</f>
        <v/>
      </c>
      <c r="N61" s="13" t="n"/>
      <c r="O61" s="13" t="n"/>
      <c r="P61" s="13" t="n"/>
      <c r="Q61" s="13" t="n"/>
      <c r="R61" s="14">
        <f>SUM(N61:Q61)</f>
        <v/>
      </c>
      <c r="S61" s="13" t="n"/>
      <c r="T61" s="13" t="n"/>
      <c r="U61" s="13" t="n"/>
      <c r="V61" s="13" t="n"/>
      <c r="W61" s="14">
        <f>SUM(S61:V61)</f>
        <v/>
      </c>
      <c r="X61" s="13" t="n"/>
      <c r="Y61" s="13" t="n"/>
      <c r="Z61" s="13" t="n"/>
      <c r="AA61" s="13" t="n"/>
      <c r="AB61" s="14">
        <f>SUM(X61:AA61)</f>
        <v/>
      </c>
      <c r="AC61" s="13" t="n"/>
      <c r="AD61" s="13" t="n"/>
      <c r="AE61" s="13" t="n"/>
      <c r="AF61" s="13" t="n"/>
      <c r="AG61" s="14">
        <f>SUM(AC61:AF61)</f>
        <v/>
      </c>
      <c r="AH61" s="13" t="n"/>
      <c r="AI61" s="13" t="n"/>
      <c r="AJ61" s="13" t="n"/>
      <c r="AK61" s="13" t="n"/>
      <c r="AL61" s="14">
        <f>SUM(AH61:AK61)</f>
        <v/>
      </c>
      <c r="AM61" s="13" t="n">
        <v>73.91249999999999</v>
      </c>
      <c r="AN61" s="13" t="n">
        <v>74.6516</v>
      </c>
      <c r="AO61" s="13" t="n">
        <v>75.3907</v>
      </c>
      <c r="AP61" s="13" t="n">
        <v>76.12990000000001</v>
      </c>
      <c r="AQ61" s="14">
        <f>SUM(AM61:AP61)</f>
        <v/>
      </c>
      <c r="AR61" s="13" t="n">
        <v>76.869</v>
      </c>
      <c r="AS61" s="13" t="n">
        <v>77.60809999999999</v>
      </c>
      <c r="AT61" s="13" t="n">
        <v>78.3473</v>
      </c>
      <c r="AU61" s="13" t="n">
        <v>79.0864</v>
      </c>
      <c r="AV61" s="14">
        <f>SUM(AR61:AU61)</f>
        <v/>
      </c>
      <c r="AW61" s="13" t="n">
        <v>79.82550000000001</v>
      </c>
      <c r="AX61" s="13" t="n">
        <v>80.5646</v>
      </c>
      <c r="AY61" s="13" t="n">
        <v>81.30370000000001</v>
      </c>
      <c r="AZ61" s="13" t="n">
        <v>82.0429</v>
      </c>
      <c r="BA61" s="14">
        <f>SUM(AW61:AZ61)</f>
        <v/>
      </c>
      <c r="BB61" s="13" t="n">
        <v>82.782</v>
      </c>
    </row>
    <row r="62">
      <c r="B62" s="12" t="inlineStr">
        <is>
          <t>(+/-) Working capital changes</t>
        </is>
      </c>
      <c r="C62" s="6" t="inlineStr">
        <is>
          <t>USD mn</t>
        </is>
      </c>
      <c r="D62" s="13" t="n"/>
      <c r="E62" s="13" t="n"/>
      <c r="F62" s="13" t="n"/>
      <c r="G62" s="13" t="n"/>
      <c r="H62" s="14">
        <f>SUM(D62:G62)</f>
        <v/>
      </c>
      <c r="I62" s="13" t="n"/>
      <c r="J62" s="13" t="n"/>
      <c r="K62" s="13" t="n"/>
      <c r="L62" s="13" t="n"/>
      <c r="M62" s="14">
        <f>SUM(I62:L62)</f>
        <v/>
      </c>
      <c r="N62" s="13" t="n"/>
      <c r="O62" s="13" t="n"/>
      <c r="P62" s="13" t="n"/>
      <c r="Q62" s="13" t="n"/>
      <c r="R62" s="14">
        <f>SUM(N62:Q62)</f>
        <v/>
      </c>
      <c r="S62" s="13" t="n"/>
      <c r="T62" s="13" t="n"/>
      <c r="U62" s="13" t="n"/>
      <c r="V62" s="13" t="n"/>
      <c r="W62" s="14">
        <f>SUM(S62:V62)</f>
        <v/>
      </c>
      <c r="X62" s="13" t="n"/>
      <c r="Y62" s="13" t="n"/>
      <c r="Z62" s="13" t="n"/>
      <c r="AA62" s="13" t="n"/>
      <c r="AB62" s="14">
        <f>SUM(X62:AA62)</f>
        <v/>
      </c>
      <c r="AC62" s="13" t="n"/>
      <c r="AD62" s="13" t="n"/>
      <c r="AE62" s="13" t="n"/>
      <c r="AF62" s="13" t="n"/>
      <c r="AG62" s="14">
        <f>SUM(AC62:AF62)</f>
        <v/>
      </c>
      <c r="AH62" s="13" t="n"/>
      <c r="AI62" s="13" t="n"/>
      <c r="AJ62" s="13" t="n"/>
      <c r="AK62" s="13" t="n"/>
      <c r="AL62" s="14">
        <f>SUM(AH62:AK62)</f>
        <v/>
      </c>
      <c r="AM62" s="13" t="n">
        <v>0</v>
      </c>
      <c r="AN62" s="13" t="n">
        <v>0</v>
      </c>
      <c r="AO62" s="13" t="n">
        <v>0</v>
      </c>
      <c r="AP62" s="13" t="n">
        <v>0</v>
      </c>
      <c r="AQ62" s="14">
        <f>SUM(AM62:AP62)</f>
        <v/>
      </c>
      <c r="AR62" s="13" t="n">
        <v>0</v>
      </c>
      <c r="AS62" s="13" t="n">
        <v>0</v>
      </c>
      <c r="AT62" s="13" t="n">
        <v>0</v>
      </c>
      <c r="AU62" s="13" t="n">
        <v>0</v>
      </c>
      <c r="AV62" s="14">
        <f>SUM(AR62:AU62)</f>
        <v/>
      </c>
      <c r="AW62" s="13" t="n">
        <v>0</v>
      </c>
      <c r="AX62" s="13" t="n">
        <v>0</v>
      </c>
      <c r="AY62" s="13" t="n">
        <v>0</v>
      </c>
      <c r="AZ62" s="13" t="n">
        <v>0</v>
      </c>
      <c r="BA62" s="14">
        <f>SUM(AW62:AZ62)</f>
        <v/>
      </c>
      <c r="BB62" s="13" t="n">
        <v>0</v>
      </c>
    </row>
    <row r="63">
      <c r="B63" s="12" t="inlineStr">
        <is>
          <t>(+/-) Other operating</t>
        </is>
      </c>
      <c r="C63" s="6" t="inlineStr">
        <is>
          <t>USD mn</t>
        </is>
      </c>
      <c r="D63" s="13" t="n"/>
      <c r="E63" s="13" t="n"/>
      <c r="F63" s="13" t="n"/>
      <c r="G63" s="13" t="n"/>
      <c r="H63" s="14">
        <f>SUM(D63:G63)</f>
        <v/>
      </c>
      <c r="I63" s="13" t="n"/>
      <c r="J63" s="13" t="n"/>
      <c r="K63" s="13" t="n"/>
      <c r="L63" s="13" t="n"/>
      <c r="M63" s="14">
        <f>SUM(I63:L63)</f>
        <v/>
      </c>
      <c r="N63" s="13" t="n"/>
      <c r="O63" s="13" t="n"/>
      <c r="P63" s="13" t="n"/>
      <c r="Q63" s="13" t="n"/>
      <c r="R63" s="14">
        <f>SUM(N63:Q63)</f>
        <v/>
      </c>
      <c r="S63" s="13" t="n"/>
      <c r="T63" s="13" t="n"/>
      <c r="U63" s="13" t="n"/>
      <c r="V63" s="13" t="n"/>
      <c r="W63" s="14">
        <f>SUM(S63:V63)</f>
        <v/>
      </c>
      <c r="X63" s="13" t="n"/>
      <c r="Y63" s="13" t="n"/>
      <c r="Z63" s="13" t="n"/>
      <c r="AA63" s="13" t="n"/>
      <c r="AB63" s="14">
        <f>SUM(X63:AA63)</f>
        <v/>
      </c>
      <c r="AC63" s="13" t="n"/>
      <c r="AD63" s="13" t="n"/>
      <c r="AE63" s="13" t="n"/>
      <c r="AF63" s="13" t="n"/>
      <c r="AG63" s="14">
        <f>SUM(AC63:AF63)</f>
        <v/>
      </c>
      <c r="AH63" s="13" t="n"/>
      <c r="AI63" s="13" t="n"/>
      <c r="AJ63" s="13" t="n"/>
      <c r="AK63" s="13" t="n"/>
      <c r="AL63" s="14">
        <f>SUM(AH63:AK63)</f>
        <v/>
      </c>
      <c r="AM63" s="13" t="n">
        <v>0</v>
      </c>
      <c r="AN63" s="13" t="n">
        <v>0</v>
      </c>
      <c r="AO63" s="13" t="n">
        <v>0</v>
      </c>
      <c r="AP63" s="13" t="n">
        <v>0</v>
      </c>
      <c r="AQ63" s="14">
        <f>SUM(AM63:AP63)</f>
        <v/>
      </c>
      <c r="AR63" s="13" t="n">
        <v>0</v>
      </c>
      <c r="AS63" s="13" t="n">
        <v>0</v>
      </c>
      <c r="AT63" s="13" t="n">
        <v>0</v>
      </c>
      <c r="AU63" s="13" t="n">
        <v>0</v>
      </c>
      <c r="AV63" s="14">
        <f>SUM(AR63:AU63)</f>
        <v/>
      </c>
      <c r="AW63" s="13" t="n">
        <v>0</v>
      </c>
      <c r="AX63" s="13" t="n">
        <v>0</v>
      </c>
      <c r="AY63" s="13" t="n">
        <v>0</v>
      </c>
      <c r="AZ63" s="13" t="n">
        <v>0</v>
      </c>
      <c r="BA63" s="14">
        <f>SUM(AW63:AZ63)</f>
        <v/>
      </c>
      <c r="BB63" s="13" t="n">
        <v>0</v>
      </c>
    </row>
    <row r="64">
      <c r="B64" s="12" t="inlineStr">
        <is>
          <t>(=) Cash from operations</t>
        </is>
      </c>
      <c r="C64" s="6" t="inlineStr">
        <is>
          <t>USD mn</t>
        </is>
      </c>
      <c r="D64" s="13" t="n"/>
      <c r="E64" s="13" t="n"/>
      <c r="F64" s="13" t="n"/>
      <c r="G64" s="13" t="n"/>
      <c r="H64" s="14">
        <f>SUM(D64:G64)</f>
        <v/>
      </c>
      <c r="I64" s="13" t="n"/>
      <c r="J64" s="13" t="n"/>
      <c r="K64" s="13" t="n"/>
      <c r="L64" s="13" t="n"/>
      <c r="M64" s="14">
        <f>SUM(I64:L64)</f>
        <v/>
      </c>
      <c r="N64" s="13" t="n"/>
      <c r="O64" s="13" t="n"/>
      <c r="P64" s="13" t="n"/>
      <c r="Q64" s="13" t="n"/>
      <c r="R64" s="14">
        <f>SUM(N64:Q64)</f>
        <v/>
      </c>
      <c r="S64" s="13" t="n"/>
      <c r="T64" s="13" t="n"/>
      <c r="U64" s="13" t="n"/>
      <c r="V64" s="13" t="n"/>
      <c r="W64" s="14">
        <f>SUM(S64:V64)</f>
        <v/>
      </c>
      <c r="X64" s="13" t="n"/>
      <c r="Y64" s="13" t="n"/>
      <c r="Z64" s="13" t="n"/>
      <c r="AA64" s="13" t="n"/>
      <c r="AB64" s="14">
        <f>SUM(X64:AA64)</f>
        <v/>
      </c>
      <c r="AC64" s="13" t="n"/>
      <c r="AD64" s="13" t="n"/>
      <c r="AE64" s="13" t="n"/>
      <c r="AF64" s="13" t="n"/>
      <c r="AG64" s="14">
        <f>SUM(AC64:AF64)</f>
        <v/>
      </c>
      <c r="AH64" s="13" t="n"/>
      <c r="AI64" s="13" t="n"/>
      <c r="AJ64" s="13" t="n"/>
      <c r="AK64" s="13" t="n"/>
      <c r="AL64" s="14">
        <f>SUM(AH64:AK64)</f>
        <v/>
      </c>
      <c r="AM64" s="13" t="n">
        <v>358.9973</v>
      </c>
      <c r="AN64" s="13" t="n">
        <v>373.4373</v>
      </c>
      <c r="AO64" s="13" t="n">
        <v>366.4772</v>
      </c>
      <c r="AP64" s="13" t="n">
        <v>364.7612</v>
      </c>
      <c r="AQ64" s="14">
        <f>SUM(AM64:AP64)</f>
        <v/>
      </c>
      <c r="AR64" s="13" t="n">
        <v>373.9571</v>
      </c>
      <c r="AS64" s="13" t="n">
        <v>388.8209</v>
      </c>
      <c r="AT64" s="13" t="n">
        <v>381.4371</v>
      </c>
      <c r="AU64" s="13" t="n">
        <v>379.5092</v>
      </c>
      <c r="AV64" s="14">
        <f>SUM(AR64:AU64)</f>
        <v/>
      </c>
      <c r="AW64" s="13" t="n">
        <v>388.917</v>
      </c>
      <c r="AX64" s="13" t="n">
        <v>404.2046</v>
      </c>
      <c r="AY64" s="13" t="n">
        <v>396.397</v>
      </c>
      <c r="AZ64" s="13" t="n">
        <v>394.2572</v>
      </c>
      <c r="BA64" s="14">
        <f>SUM(AW64:AZ64)</f>
        <v/>
      </c>
      <c r="BB64" s="13" t="n">
        <v>403.8769</v>
      </c>
    </row>
    <row r="65">
      <c r="B65" s="12" t="inlineStr">
        <is>
          <t>(-) Capex</t>
        </is>
      </c>
      <c r="C65" s="6" t="inlineStr">
        <is>
          <t>USD mn</t>
        </is>
      </c>
      <c r="D65" s="13" t="n"/>
      <c r="E65" s="13" t="n"/>
      <c r="F65" s="13" t="n"/>
      <c r="G65" s="13" t="n"/>
      <c r="H65" s="14">
        <f>SUM(D65:G65)</f>
        <v/>
      </c>
      <c r="I65" s="13" t="n"/>
      <c r="J65" s="13" t="n"/>
      <c r="K65" s="13" t="n"/>
      <c r="L65" s="13" t="n"/>
      <c r="M65" s="14">
        <f>SUM(I65:L65)</f>
        <v/>
      </c>
      <c r="N65" s="13" t="n"/>
      <c r="O65" s="13" t="n"/>
      <c r="P65" s="13" t="n"/>
      <c r="Q65" s="13" t="n"/>
      <c r="R65" s="14">
        <f>SUM(N65:Q65)</f>
        <v/>
      </c>
      <c r="S65" s="13" t="n"/>
      <c r="T65" s="13" t="n"/>
      <c r="U65" s="13" t="n"/>
      <c r="V65" s="13" t="n"/>
      <c r="W65" s="14">
        <f>SUM(S65:V65)</f>
        <v/>
      </c>
      <c r="X65" s="13" t="n"/>
      <c r="Y65" s="13" t="n"/>
      <c r="Z65" s="13" t="n"/>
      <c r="AA65" s="13" t="n"/>
      <c r="AB65" s="14">
        <f>SUM(X65:AA65)</f>
        <v/>
      </c>
      <c r="AC65" s="13" t="n"/>
      <c r="AD65" s="13" t="n"/>
      <c r="AE65" s="13" t="n"/>
      <c r="AF65" s="13" t="n"/>
      <c r="AG65" s="14">
        <f>SUM(AC65:AF65)</f>
        <v/>
      </c>
      <c r="AH65" s="13" t="n"/>
      <c r="AI65" s="13" t="n"/>
      <c r="AJ65" s="13" t="n"/>
      <c r="AK65" s="13" t="n"/>
      <c r="AL65" s="14">
        <f>SUM(AH65:AK65)</f>
        <v/>
      </c>
      <c r="AM65" s="13" t="n">
        <v>-60</v>
      </c>
      <c r="AN65" s="13" t="n">
        <v>-60</v>
      </c>
      <c r="AO65" s="13" t="n">
        <v>-60</v>
      </c>
      <c r="AP65" s="13" t="n">
        <v>-60</v>
      </c>
      <c r="AQ65" s="14">
        <f>SUM(AM65:AP65)</f>
        <v/>
      </c>
      <c r="AR65" s="13" t="n">
        <v>-60</v>
      </c>
      <c r="AS65" s="13" t="n">
        <v>-60</v>
      </c>
      <c r="AT65" s="13" t="n">
        <v>-60</v>
      </c>
      <c r="AU65" s="13" t="n">
        <v>-60</v>
      </c>
      <c r="AV65" s="14">
        <f>SUM(AR65:AU65)</f>
        <v/>
      </c>
      <c r="AW65" s="13" t="n">
        <v>-60</v>
      </c>
      <c r="AX65" s="13" t="n">
        <v>-60</v>
      </c>
      <c r="AY65" s="13" t="n">
        <v>-60</v>
      </c>
      <c r="AZ65" s="13" t="n">
        <v>-60</v>
      </c>
      <c r="BA65" s="14">
        <f>SUM(AW65:AZ65)</f>
        <v/>
      </c>
      <c r="BB65" s="13" t="n">
        <v>-60</v>
      </c>
    </row>
    <row r="66">
      <c r="B66" s="12" t="inlineStr">
        <is>
          <t>(+/-) Acquisitions and divestments</t>
        </is>
      </c>
      <c r="C66" s="6" t="inlineStr">
        <is>
          <t>USD mn</t>
        </is>
      </c>
      <c r="D66" s="13" t="n"/>
      <c r="E66" s="13" t="n"/>
      <c r="F66" s="13" t="n"/>
      <c r="G66" s="13" t="n"/>
      <c r="H66" s="14">
        <f>SUM(D66:G66)</f>
        <v/>
      </c>
      <c r="I66" s="13" t="n"/>
      <c r="J66" s="13" t="n"/>
      <c r="K66" s="13" t="n"/>
      <c r="L66" s="13" t="n"/>
      <c r="M66" s="14">
        <f>SUM(I66:L66)</f>
        <v/>
      </c>
      <c r="N66" s="13" t="n"/>
      <c r="O66" s="13" t="n"/>
      <c r="P66" s="13" t="n"/>
      <c r="Q66" s="13" t="n"/>
      <c r="R66" s="14">
        <f>SUM(N66:Q66)</f>
        <v/>
      </c>
      <c r="S66" s="13" t="n"/>
      <c r="T66" s="13" t="n"/>
      <c r="U66" s="13" t="n"/>
      <c r="V66" s="13" t="n"/>
      <c r="W66" s="14">
        <f>SUM(S66:V66)</f>
        <v/>
      </c>
      <c r="X66" s="13" t="n"/>
      <c r="Y66" s="13" t="n"/>
      <c r="Z66" s="13" t="n"/>
      <c r="AA66" s="13" t="n"/>
      <c r="AB66" s="14">
        <f>SUM(X66:AA66)</f>
        <v/>
      </c>
      <c r="AC66" s="13" t="n"/>
      <c r="AD66" s="13" t="n"/>
      <c r="AE66" s="13" t="n"/>
      <c r="AF66" s="13" t="n"/>
      <c r="AG66" s="14">
        <f>SUM(AC66:AF66)</f>
        <v/>
      </c>
      <c r="AH66" s="13" t="n"/>
      <c r="AI66" s="13" t="n"/>
      <c r="AJ66" s="13" t="n"/>
      <c r="AK66" s="13" t="n"/>
      <c r="AL66" s="14">
        <f>SUM(AH66:AK66)</f>
        <v/>
      </c>
      <c r="AM66" s="13" t="n">
        <v>0</v>
      </c>
      <c r="AN66" s="13" t="n">
        <v>0</v>
      </c>
      <c r="AO66" s="13" t="n">
        <v>0</v>
      </c>
      <c r="AP66" s="13" t="n">
        <v>0</v>
      </c>
      <c r="AQ66" s="14">
        <f>SUM(AM66:AP66)</f>
        <v/>
      </c>
      <c r="AR66" s="13" t="n">
        <v>0</v>
      </c>
      <c r="AS66" s="13" t="n">
        <v>0</v>
      </c>
      <c r="AT66" s="13" t="n">
        <v>0</v>
      </c>
      <c r="AU66" s="13" t="n">
        <v>0</v>
      </c>
      <c r="AV66" s="14">
        <f>SUM(AR66:AU66)</f>
        <v/>
      </c>
      <c r="AW66" s="13" t="n">
        <v>0</v>
      </c>
      <c r="AX66" s="13" t="n">
        <v>0</v>
      </c>
      <c r="AY66" s="13" t="n">
        <v>0</v>
      </c>
      <c r="AZ66" s="13" t="n">
        <v>0</v>
      </c>
      <c r="BA66" s="14">
        <f>SUM(AW66:AZ66)</f>
        <v/>
      </c>
      <c r="BB66" s="13" t="n">
        <v>0</v>
      </c>
    </row>
    <row r="67">
      <c r="B67" s="12" t="inlineStr">
        <is>
          <t>(+/-) Other investing</t>
        </is>
      </c>
      <c r="C67" s="6" t="inlineStr">
        <is>
          <t>USD mn</t>
        </is>
      </c>
      <c r="D67" s="13" t="n"/>
      <c r="E67" s="13" t="n"/>
      <c r="F67" s="13" t="n"/>
      <c r="G67" s="13" t="n"/>
      <c r="H67" s="14">
        <f>SUM(D67:G67)</f>
        <v/>
      </c>
      <c r="I67" s="13" t="n"/>
      <c r="J67" s="13" t="n"/>
      <c r="K67" s="13" t="n"/>
      <c r="L67" s="13" t="n"/>
      <c r="M67" s="14">
        <f>SUM(I67:L67)</f>
        <v/>
      </c>
      <c r="N67" s="13" t="n"/>
      <c r="O67" s="13" t="n"/>
      <c r="P67" s="13" t="n"/>
      <c r="Q67" s="13" t="n"/>
      <c r="R67" s="14">
        <f>SUM(N67:Q67)</f>
        <v/>
      </c>
      <c r="S67" s="13" t="n"/>
      <c r="T67" s="13" t="n"/>
      <c r="U67" s="13" t="n"/>
      <c r="V67" s="13" t="n"/>
      <c r="W67" s="14">
        <f>SUM(S67:V67)</f>
        <v/>
      </c>
      <c r="X67" s="13" t="n"/>
      <c r="Y67" s="13" t="n"/>
      <c r="Z67" s="13" t="n"/>
      <c r="AA67" s="13" t="n"/>
      <c r="AB67" s="14">
        <f>SUM(X67:AA67)</f>
        <v/>
      </c>
      <c r="AC67" s="13" t="n"/>
      <c r="AD67" s="13" t="n"/>
      <c r="AE67" s="13" t="n"/>
      <c r="AF67" s="13" t="n"/>
      <c r="AG67" s="14">
        <f>SUM(AC67:AF67)</f>
        <v/>
      </c>
      <c r="AH67" s="13" t="n"/>
      <c r="AI67" s="13" t="n"/>
      <c r="AJ67" s="13" t="n"/>
      <c r="AK67" s="13" t="n"/>
      <c r="AL67" s="14">
        <f>SUM(AH67:AK67)</f>
        <v/>
      </c>
      <c r="AM67" s="13" t="n">
        <v>0</v>
      </c>
      <c r="AN67" s="13" t="n">
        <v>0</v>
      </c>
      <c r="AO67" s="13" t="n">
        <v>0</v>
      </c>
      <c r="AP67" s="13" t="n">
        <v>0</v>
      </c>
      <c r="AQ67" s="14">
        <f>SUM(AM67:AP67)</f>
        <v/>
      </c>
      <c r="AR67" s="13" t="n">
        <v>0</v>
      </c>
      <c r="AS67" s="13" t="n">
        <v>0</v>
      </c>
      <c r="AT67" s="13" t="n">
        <v>0</v>
      </c>
      <c r="AU67" s="13" t="n">
        <v>0</v>
      </c>
      <c r="AV67" s="14">
        <f>SUM(AR67:AU67)</f>
        <v/>
      </c>
      <c r="AW67" s="13" t="n">
        <v>0</v>
      </c>
      <c r="AX67" s="13" t="n">
        <v>0</v>
      </c>
      <c r="AY67" s="13" t="n">
        <v>0</v>
      </c>
      <c r="AZ67" s="13" t="n">
        <v>0</v>
      </c>
      <c r="BA67" s="14">
        <f>SUM(AW67:AZ67)</f>
        <v/>
      </c>
      <c r="BB67" s="13" t="n">
        <v>0</v>
      </c>
    </row>
    <row r="68">
      <c r="B68" s="12" t="inlineStr">
        <is>
          <t>(=) Cash from investing</t>
        </is>
      </c>
      <c r="C68" s="6" t="inlineStr">
        <is>
          <t>USD mn</t>
        </is>
      </c>
      <c r="D68" s="13" t="n"/>
      <c r="E68" s="13" t="n"/>
      <c r="F68" s="13" t="n"/>
      <c r="G68" s="13" t="n"/>
      <c r="H68" s="14">
        <f>SUM(D68:G68)</f>
        <v/>
      </c>
      <c r="I68" s="13" t="n"/>
      <c r="J68" s="13" t="n"/>
      <c r="K68" s="13" t="n"/>
      <c r="L68" s="13" t="n"/>
      <c r="M68" s="14">
        <f>SUM(I68:L68)</f>
        <v/>
      </c>
      <c r="N68" s="13" t="n"/>
      <c r="O68" s="13" t="n"/>
      <c r="P68" s="13" t="n"/>
      <c r="Q68" s="13" t="n"/>
      <c r="R68" s="14">
        <f>SUM(N68:Q68)</f>
        <v/>
      </c>
      <c r="S68" s="13" t="n"/>
      <c r="T68" s="13" t="n"/>
      <c r="U68" s="13" t="n"/>
      <c r="V68" s="13" t="n"/>
      <c r="W68" s="14">
        <f>SUM(S68:V68)</f>
        <v/>
      </c>
      <c r="X68" s="13" t="n"/>
      <c r="Y68" s="13" t="n"/>
      <c r="Z68" s="13" t="n"/>
      <c r="AA68" s="13" t="n"/>
      <c r="AB68" s="14">
        <f>SUM(X68:AA68)</f>
        <v/>
      </c>
      <c r="AC68" s="13" t="n"/>
      <c r="AD68" s="13" t="n"/>
      <c r="AE68" s="13" t="n"/>
      <c r="AF68" s="13" t="n"/>
      <c r="AG68" s="14">
        <f>SUM(AC68:AF68)</f>
        <v/>
      </c>
      <c r="AH68" s="13" t="n"/>
      <c r="AI68" s="13" t="n"/>
      <c r="AJ68" s="13" t="n"/>
      <c r="AK68" s="13" t="n"/>
      <c r="AL68" s="14">
        <f>SUM(AH68:AK68)</f>
        <v/>
      </c>
      <c r="AM68" s="13" t="n">
        <v>-60</v>
      </c>
      <c r="AN68" s="13" t="n">
        <v>-60</v>
      </c>
      <c r="AO68" s="13" t="n">
        <v>-60</v>
      </c>
      <c r="AP68" s="13" t="n">
        <v>-60</v>
      </c>
      <c r="AQ68" s="14">
        <f>SUM(AM68:AP68)</f>
        <v/>
      </c>
      <c r="AR68" s="13" t="n">
        <v>-60</v>
      </c>
      <c r="AS68" s="13" t="n">
        <v>-60</v>
      </c>
      <c r="AT68" s="13" t="n">
        <v>-60</v>
      </c>
      <c r="AU68" s="13" t="n">
        <v>-60</v>
      </c>
      <c r="AV68" s="14">
        <f>SUM(AR68:AU68)</f>
        <v/>
      </c>
      <c r="AW68" s="13" t="n">
        <v>-60</v>
      </c>
      <c r="AX68" s="13" t="n">
        <v>-60</v>
      </c>
      <c r="AY68" s="13" t="n">
        <v>-60</v>
      </c>
      <c r="AZ68" s="13" t="n">
        <v>-60</v>
      </c>
      <c r="BA68" s="14">
        <f>SUM(AW68:AZ68)</f>
        <v/>
      </c>
      <c r="BB68" s="13" t="n">
        <v>-60</v>
      </c>
    </row>
    <row r="69">
      <c r="B69" s="12" t="inlineStr">
        <is>
          <t>(+) Debt raised</t>
        </is>
      </c>
      <c r="C69" s="6" t="inlineStr">
        <is>
          <t>USD mn</t>
        </is>
      </c>
      <c r="D69" s="13" t="n"/>
      <c r="E69" s="13" t="n"/>
      <c r="F69" s="13" t="n"/>
      <c r="G69" s="13" t="n"/>
      <c r="H69" s="14">
        <f>SUM(D69:G69)</f>
        <v/>
      </c>
      <c r="I69" s="13" t="n"/>
      <c r="J69" s="13" t="n"/>
      <c r="K69" s="13" t="n"/>
      <c r="L69" s="13" t="n"/>
      <c r="M69" s="14">
        <f>SUM(I69:L69)</f>
        <v/>
      </c>
      <c r="N69" s="13" t="n"/>
      <c r="O69" s="13" t="n"/>
      <c r="P69" s="13" t="n"/>
      <c r="Q69" s="13" t="n"/>
      <c r="R69" s="14">
        <f>SUM(N69:Q69)</f>
        <v/>
      </c>
      <c r="S69" s="13" t="n"/>
      <c r="T69" s="13" t="n"/>
      <c r="U69" s="13" t="n"/>
      <c r="V69" s="13" t="n"/>
      <c r="W69" s="14">
        <f>SUM(S69:V69)</f>
        <v/>
      </c>
      <c r="X69" s="13" t="n"/>
      <c r="Y69" s="13" t="n"/>
      <c r="Z69" s="13" t="n"/>
      <c r="AA69" s="13" t="n"/>
      <c r="AB69" s="14">
        <f>SUM(X69:AA69)</f>
        <v/>
      </c>
      <c r="AC69" s="13" t="n"/>
      <c r="AD69" s="13" t="n"/>
      <c r="AE69" s="13" t="n"/>
      <c r="AF69" s="13" t="n"/>
      <c r="AG69" s="14">
        <f>SUM(AC69:AF69)</f>
        <v/>
      </c>
      <c r="AH69" s="13" t="n"/>
      <c r="AI69" s="13" t="n"/>
      <c r="AJ69" s="13" t="n"/>
      <c r="AK69" s="13" t="n"/>
      <c r="AL69" s="14">
        <f>SUM(AH69:AK69)</f>
        <v/>
      </c>
      <c r="AM69" s="13" t="n">
        <v>0</v>
      </c>
      <c r="AN69" s="13" t="n">
        <v>0</v>
      </c>
      <c r="AO69" s="13" t="n">
        <v>0</v>
      </c>
      <c r="AP69" s="13" t="n">
        <v>0</v>
      </c>
      <c r="AQ69" s="14">
        <f>SUM(AM69:AP69)</f>
        <v/>
      </c>
      <c r="AR69" s="13" t="n">
        <v>0</v>
      </c>
      <c r="AS69" s="13" t="n">
        <v>0</v>
      </c>
      <c r="AT69" s="13" t="n">
        <v>0</v>
      </c>
      <c r="AU69" s="13" t="n">
        <v>0</v>
      </c>
      <c r="AV69" s="14">
        <f>SUM(AR69:AU69)</f>
        <v/>
      </c>
      <c r="AW69" s="13" t="n">
        <v>0</v>
      </c>
      <c r="AX69" s="13" t="n">
        <v>0</v>
      </c>
      <c r="AY69" s="13" t="n">
        <v>0</v>
      </c>
      <c r="AZ69" s="13" t="n">
        <v>0</v>
      </c>
      <c r="BA69" s="14">
        <f>SUM(AW69:AZ69)</f>
        <v/>
      </c>
      <c r="BB69" s="13" t="n">
        <v>0</v>
      </c>
    </row>
    <row r="70">
      <c r="B70" s="12" t="inlineStr">
        <is>
          <t>(-) Debt repaid</t>
        </is>
      </c>
      <c r="C70" s="6" t="inlineStr">
        <is>
          <t>USD mn</t>
        </is>
      </c>
      <c r="D70" s="13" t="n"/>
      <c r="E70" s="13" t="n"/>
      <c r="F70" s="13" t="n"/>
      <c r="G70" s="13" t="n"/>
      <c r="H70" s="14">
        <f>SUM(D70:G70)</f>
        <v/>
      </c>
      <c r="I70" s="13" t="n"/>
      <c r="J70" s="13" t="n"/>
      <c r="K70" s="13" t="n"/>
      <c r="L70" s="13" t="n"/>
      <c r="M70" s="14">
        <f>SUM(I70:L70)</f>
        <v/>
      </c>
      <c r="N70" s="13" t="n"/>
      <c r="O70" s="13" t="n"/>
      <c r="P70" s="13" t="n"/>
      <c r="Q70" s="13" t="n"/>
      <c r="R70" s="14">
        <f>SUM(N70:Q70)</f>
        <v/>
      </c>
      <c r="S70" s="13" t="n"/>
      <c r="T70" s="13" t="n"/>
      <c r="U70" s="13" t="n"/>
      <c r="V70" s="13" t="n"/>
      <c r="W70" s="14">
        <f>SUM(S70:V70)</f>
        <v/>
      </c>
      <c r="X70" s="13" t="n"/>
      <c r="Y70" s="13" t="n"/>
      <c r="Z70" s="13" t="n"/>
      <c r="AA70" s="13" t="n"/>
      <c r="AB70" s="14">
        <f>SUM(X70:AA70)</f>
        <v/>
      </c>
      <c r="AC70" s="13" t="n"/>
      <c r="AD70" s="13" t="n"/>
      <c r="AE70" s="13" t="n"/>
      <c r="AF70" s="13" t="n"/>
      <c r="AG70" s="14">
        <f>SUM(AC70:AF70)</f>
        <v/>
      </c>
      <c r="AH70" s="13" t="n"/>
      <c r="AI70" s="13" t="n"/>
      <c r="AJ70" s="13" t="n"/>
      <c r="AK70" s="13" t="n"/>
      <c r="AL70" s="14">
        <f>SUM(AH70:AK70)</f>
        <v/>
      </c>
      <c r="AM70" s="13" t="n">
        <v>0</v>
      </c>
      <c r="AN70" s="13" t="n">
        <v>0</v>
      </c>
      <c r="AO70" s="13" t="n">
        <v>0</v>
      </c>
      <c r="AP70" s="13" t="n">
        <v>0</v>
      </c>
      <c r="AQ70" s="14">
        <f>SUM(AM70:AP70)</f>
        <v/>
      </c>
      <c r="AR70" s="13" t="n">
        <v>0</v>
      </c>
      <c r="AS70" s="13" t="n">
        <v>0</v>
      </c>
      <c r="AT70" s="13" t="n">
        <v>0</v>
      </c>
      <c r="AU70" s="13" t="n">
        <v>0</v>
      </c>
      <c r="AV70" s="14">
        <f>SUM(AR70:AU70)</f>
        <v/>
      </c>
      <c r="AW70" s="13" t="n">
        <v>0</v>
      </c>
      <c r="AX70" s="13" t="n">
        <v>0</v>
      </c>
      <c r="AY70" s="13" t="n">
        <v>0</v>
      </c>
      <c r="AZ70" s="13" t="n">
        <v>0</v>
      </c>
      <c r="BA70" s="14">
        <f>SUM(AW70:AZ70)</f>
        <v/>
      </c>
      <c r="BB70" s="13" t="n">
        <v>0</v>
      </c>
    </row>
    <row r="71">
      <c r="B71" s="12" t="inlineStr">
        <is>
          <t>(-) Lease payments</t>
        </is>
      </c>
      <c r="C71" s="6" t="inlineStr">
        <is>
          <t>USD mn</t>
        </is>
      </c>
      <c r="D71" s="13" t="n"/>
      <c r="E71" s="13" t="n"/>
      <c r="F71" s="13" t="n"/>
      <c r="G71" s="13" t="n"/>
      <c r="H71" s="14">
        <f>SUM(D71:G71)</f>
        <v/>
      </c>
      <c r="I71" s="13" t="n"/>
      <c r="J71" s="13" t="n"/>
      <c r="K71" s="13" t="n"/>
      <c r="L71" s="13" t="n"/>
      <c r="M71" s="14">
        <f>SUM(I71:L71)</f>
        <v/>
      </c>
      <c r="N71" s="13" t="n"/>
      <c r="O71" s="13" t="n"/>
      <c r="P71" s="13" t="n"/>
      <c r="Q71" s="13" t="n"/>
      <c r="R71" s="14">
        <f>SUM(N71:Q71)</f>
        <v/>
      </c>
      <c r="S71" s="13" t="n"/>
      <c r="T71" s="13" t="n"/>
      <c r="U71" s="13" t="n"/>
      <c r="V71" s="13" t="n"/>
      <c r="W71" s="14">
        <f>SUM(S71:V71)</f>
        <v/>
      </c>
      <c r="X71" s="13" t="n"/>
      <c r="Y71" s="13" t="n"/>
      <c r="Z71" s="13" t="n"/>
      <c r="AA71" s="13" t="n"/>
      <c r="AB71" s="14">
        <f>SUM(X71:AA71)</f>
        <v/>
      </c>
      <c r="AC71" s="13" t="n"/>
      <c r="AD71" s="13" t="n"/>
      <c r="AE71" s="13" t="n"/>
      <c r="AF71" s="13" t="n"/>
      <c r="AG71" s="14">
        <f>SUM(AC71:AF71)</f>
        <v/>
      </c>
      <c r="AH71" s="13" t="n"/>
      <c r="AI71" s="13" t="n"/>
      <c r="AJ71" s="13" t="n"/>
      <c r="AK71" s="13" t="n"/>
      <c r="AL71" s="14">
        <f>SUM(AH71:AK71)</f>
        <v/>
      </c>
      <c r="AM71" s="13" t="n">
        <v>0</v>
      </c>
      <c r="AN71" s="13" t="n">
        <v>0</v>
      </c>
      <c r="AO71" s="13" t="n">
        <v>0</v>
      </c>
      <c r="AP71" s="13" t="n">
        <v>0</v>
      </c>
      <c r="AQ71" s="14">
        <f>SUM(AM71:AP71)</f>
        <v/>
      </c>
      <c r="AR71" s="13" t="n">
        <v>0</v>
      </c>
      <c r="AS71" s="13" t="n">
        <v>0</v>
      </c>
      <c r="AT71" s="13" t="n">
        <v>0</v>
      </c>
      <c r="AU71" s="13" t="n">
        <v>0</v>
      </c>
      <c r="AV71" s="14">
        <f>SUM(AR71:AU71)</f>
        <v/>
      </c>
      <c r="AW71" s="13" t="n">
        <v>0</v>
      </c>
      <c r="AX71" s="13" t="n">
        <v>0</v>
      </c>
      <c r="AY71" s="13" t="n">
        <v>0</v>
      </c>
      <c r="AZ71" s="13" t="n">
        <v>0</v>
      </c>
      <c r="BA71" s="14">
        <f>SUM(AW71:AZ71)</f>
        <v/>
      </c>
      <c r="BB71" s="13" t="n">
        <v>0</v>
      </c>
    </row>
    <row r="72">
      <c r="B72" s="12" t="inlineStr">
        <is>
          <t>(-) Dividends and buybacks</t>
        </is>
      </c>
      <c r="C72" s="6" t="inlineStr">
        <is>
          <t>USD mn</t>
        </is>
      </c>
      <c r="D72" s="13" t="n"/>
      <c r="E72" s="13" t="n"/>
      <c r="F72" s="13" t="n"/>
      <c r="G72" s="13" t="n"/>
      <c r="H72" s="14">
        <f>SUM(D72:G72)</f>
        <v/>
      </c>
      <c r="I72" s="13" t="n"/>
      <c r="J72" s="13" t="n"/>
      <c r="K72" s="13" t="n"/>
      <c r="L72" s="13" t="n"/>
      <c r="M72" s="14">
        <f>SUM(I72:L72)</f>
        <v/>
      </c>
      <c r="N72" s="13" t="n"/>
      <c r="O72" s="13" t="n"/>
      <c r="P72" s="13" t="n"/>
      <c r="Q72" s="13" t="n"/>
      <c r="R72" s="14">
        <f>SUM(N72:Q72)</f>
        <v/>
      </c>
      <c r="S72" s="13" t="n"/>
      <c r="T72" s="13" t="n"/>
      <c r="U72" s="13" t="n"/>
      <c r="V72" s="13" t="n"/>
      <c r="W72" s="14">
        <f>SUM(S72:V72)</f>
        <v/>
      </c>
      <c r="X72" s="13" t="n"/>
      <c r="Y72" s="13" t="n"/>
      <c r="Z72" s="13" t="n"/>
      <c r="AA72" s="13" t="n"/>
      <c r="AB72" s="14">
        <f>SUM(X72:AA72)</f>
        <v/>
      </c>
      <c r="AC72" s="13" t="n"/>
      <c r="AD72" s="13" t="n"/>
      <c r="AE72" s="13" t="n"/>
      <c r="AF72" s="13" t="n"/>
      <c r="AG72" s="14">
        <f>SUM(AC72:AF72)</f>
        <v/>
      </c>
      <c r="AH72" s="13" t="n"/>
      <c r="AI72" s="13" t="n"/>
      <c r="AJ72" s="13" t="n"/>
      <c r="AK72" s="13" t="n"/>
      <c r="AL72" s="14">
        <f>SUM(AH72:AK72)</f>
        <v/>
      </c>
      <c r="AM72" s="13" t="n">
        <v>0</v>
      </c>
      <c r="AN72" s="13" t="n">
        <v>0</v>
      </c>
      <c r="AO72" s="13" t="n">
        <v>0</v>
      </c>
      <c r="AP72" s="13" t="n">
        <v>0</v>
      </c>
      <c r="AQ72" s="14">
        <f>SUM(AM72:AP72)</f>
        <v/>
      </c>
      <c r="AR72" s="13" t="n">
        <v>0</v>
      </c>
      <c r="AS72" s="13" t="n">
        <v>0</v>
      </c>
      <c r="AT72" s="13" t="n">
        <v>0</v>
      </c>
      <c r="AU72" s="13" t="n">
        <v>0</v>
      </c>
      <c r="AV72" s="14">
        <f>SUM(AR72:AU72)</f>
        <v/>
      </c>
      <c r="AW72" s="13" t="n">
        <v>0</v>
      </c>
      <c r="AX72" s="13" t="n">
        <v>0</v>
      </c>
      <c r="AY72" s="13" t="n">
        <v>0</v>
      </c>
      <c r="AZ72" s="13" t="n">
        <v>0</v>
      </c>
      <c r="BA72" s="14">
        <f>SUM(AW72:AZ72)</f>
        <v/>
      </c>
      <c r="BB72" s="13" t="n">
        <v>0</v>
      </c>
    </row>
    <row r="73">
      <c r="B73" s="12" t="inlineStr">
        <is>
          <t>(+/-) Other financing</t>
        </is>
      </c>
      <c r="C73" s="6" t="inlineStr">
        <is>
          <t>USD mn</t>
        </is>
      </c>
      <c r="D73" s="13" t="n"/>
      <c r="E73" s="13" t="n"/>
      <c r="F73" s="13" t="n"/>
      <c r="G73" s="13" t="n"/>
      <c r="H73" s="14">
        <f>SUM(D73:G73)</f>
        <v/>
      </c>
      <c r="I73" s="13" t="n"/>
      <c r="J73" s="13" t="n"/>
      <c r="K73" s="13" t="n"/>
      <c r="L73" s="13" t="n"/>
      <c r="M73" s="14">
        <f>SUM(I73:L73)</f>
        <v/>
      </c>
      <c r="N73" s="13" t="n"/>
      <c r="O73" s="13" t="n"/>
      <c r="P73" s="13" t="n"/>
      <c r="Q73" s="13" t="n"/>
      <c r="R73" s="14">
        <f>SUM(N73:Q73)</f>
        <v/>
      </c>
      <c r="S73" s="13" t="n"/>
      <c r="T73" s="13" t="n"/>
      <c r="U73" s="13" t="n"/>
      <c r="V73" s="13" t="n"/>
      <c r="W73" s="14">
        <f>SUM(S73:V73)</f>
        <v/>
      </c>
      <c r="X73" s="13" t="n"/>
      <c r="Y73" s="13" t="n"/>
      <c r="Z73" s="13" t="n"/>
      <c r="AA73" s="13" t="n"/>
      <c r="AB73" s="14">
        <f>SUM(X73:AA73)</f>
        <v/>
      </c>
      <c r="AC73" s="13" t="n"/>
      <c r="AD73" s="13" t="n"/>
      <c r="AE73" s="13" t="n"/>
      <c r="AF73" s="13" t="n"/>
      <c r="AG73" s="14">
        <f>SUM(AC73:AF73)</f>
        <v/>
      </c>
      <c r="AH73" s="13" t="n"/>
      <c r="AI73" s="13" t="n"/>
      <c r="AJ73" s="13" t="n"/>
      <c r="AK73" s="13" t="n"/>
      <c r="AL73" s="14">
        <f>SUM(AH73:AK73)</f>
        <v/>
      </c>
      <c r="AM73" s="13" t="n">
        <v>0</v>
      </c>
      <c r="AN73" s="13" t="n">
        <v>0</v>
      </c>
      <c r="AO73" s="13" t="n">
        <v>0</v>
      </c>
      <c r="AP73" s="13" t="n">
        <v>0</v>
      </c>
      <c r="AQ73" s="14">
        <f>SUM(AM73:AP73)</f>
        <v/>
      </c>
      <c r="AR73" s="13" t="n">
        <v>0</v>
      </c>
      <c r="AS73" s="13" t="n">
        <v>0</v>
      </c>
      <c r="AT73" s="13" t="n">
        <v>0</v>
      </c>
      <c r="AU73" s="13" t="n">
        <v>0</v>
      </c>
      <c r="AV73" s="14">
        <f>SUM(AR73:AU73)</f>
        <v/>
      </c>
      <c r="AW73" s="13" t="n">
        <v>0</v>
      </c>
      <c r="AX73" s="13" t="n">
        <v>0</v>
      </c>
      <c r="AY73" s="13" t="n">
        <v>0</v>
      </c>
      <c r="AZ73" s="13" t="n">
        <v>0</v>
      </c>
      <c r="BA73" s="14">
        <f>SUM(AW73:AZ73)</f>
        <v/>
      </c>
      <c r="BB73" s="13" t="n">
        <v>0</v>
      </c>
    </row>
    <row r="74">
      <c r="B74" s="12" t="inlineStr">
        <is>
          <t>(=) Cash from financing</t>
        </is>
      </c>
      <c r="C74" s="6" t="inlineStr">
        <is>
          <t>USD mn</t>
        </is>
      </c>
      <c r="D74" s="13" t="n"/>
      <c r="E74" s="13" t="n"/>
      <c r="F74" s="13" t="n"/>
      <c r="G74" s="13" t="n"/>
      <c r="H74" s="14">
        <f>SUM(D74:G74)</f>
        <v/>
      </c>
      <c r="I74" s="13" t="n"/>
      <c r="J74" s="13" t="n"/>
      <c r="K74" s="13" t="n"/>
      <c r="L74" s="13" t="n"/>
      <c r="M74" s="14">
        <f>SUM(I74:L74)</f>
        <v/>
      </c>
      <c r="N74" s="13" t="n"/>
      <c r="O74" s="13" t="n"/>
      <c r="P74" s="13" t="n"/>
      <c r="Q74" s="13" t="n"/>
      <c r="R74" s="14">
        <f>SUM(N74:Q74)</f>
        <v/>
      </c>
      <c r="S74" s="13" t="n"/>
      <c r="T74" s="13" t="n"/>
      <c r="U74" s="13" t="n"/>
      <c r="V74" s="13" t="n"/>
      <c r="W74" s="14">
        <f>SUM(S74:V74)</f>
        <v/>
      </c>
      <c r="X74" s="13" t="n"/>
      <c r="Y74" s="13" t="n"/>
      <c r="Z74" s="13" t="n"/>
      <c r="AA74" s="13" t="n"/>
      <c r="AB74" s="14">
        <f>SUM(X74:AA74)</f>
        <v/>
      </c>
      <c r="AC74" s="13" t="n"/>
      <c r="AD74" s="13" t="n"/>
      <c r="AE74" s="13" t="n"/>
      <c r="AF74" s="13" t="n"/>
      <c r="AG74" s="14">
        <f>SUM(AC74:AF74)</f>
        <v/>
      </c>
      <c r="AH74" s="13" t="n"/>
      <c r="AI74" s="13" t="n"/>
      <c r="AJ74" s="13" t="n"/>
      <c r="AK74" s="13" t="n"/>
      <c r="AL74" s="14">
        <f>SUM(AH74:AK74)</f>
        <v/>
      </c>
      <c r="AM74" s="13" t="n">
        <v>0</v>
      </c>
      <c r="AN74" s="13" t="n">
        <v>0</v>
      </c>
      <c r="AO74" s="13" t="n">
        <v>0</v>
      </c>
      <c r="AP74" s="13" t="n">
        <v>0</v>
      </c>
      <c r="AQ74" s="14">
        <f>SUM(AM74:AP74)</f>
        <v/>
      </c>
      <c r="AR74" s="13" t="n">
        <v>0</v>
      </c>
      <c r="AS74" s="13" t="n">
        <v>0</v>
      </c>
      <c r="AT74" s="13" t="n">
        <v>0</v>
      </c>
      <c r="AU74" s="13" t="n">
        <v>0</v>
      </c>
      <c r="AV74" s="14">
        <f>SUM(AR74:AU74)</f>
        <v/>
      </c>
      <c r="AW74" s="13" t="n">
        <v>0</v>
      </c>
      <c r="AX74" s="13" t="n">
        <v>0</v>
      </c>
      <c r="AY74" s="13" t="n">
        <v>0</v>
      </c>
      <c r="AZ74" s="13" t="n">
        <v>0</v>
      </c>
      <c r="BA74" s="14">
        <f>SUM(AW74:AZ74)</f>
        <v/>
      </c>
      <c r="BB74" s="13" t="n">
        <v>0</v>
      </c>
    </row>
    <row r="75">
      <c r="B75" s="12" t="inlineStr">
        <is>
          <t>(+/-) FX effect on cash</t>
        </is>
      </c>
      <c r="C75" s="6" t="inlineStr">
        <is>
          <t>USD mn</t>
        </is>
      </c>
      <c r="D75" s="13" t="n"/>
      <c r="E75" s="13" t="n"/>
      <c r="F75" s="13" t="n"/>
      <c r="G75" s="13" t="n"/>
      <c r="H75" s="14">
        <f>SUM(D75:G75)</f>
        <v/>
      </c>
      <c r="I75" s="13" t="n"/>
      <c r="J75" s="13" t="n"/>
      <c r="K75" s="13" t="n"/>
      <c r="L75" s="13" t="n"/>
      <c r="M75" s="14">
        <f>SUM(I75:L75)</f>
        <v/>
      </c>
      <c r="N75" s="13" t="n"/>
      <c r="O75" s="13" t="n"/>
      <c r="P75" s="13" t="n"/>
      <c r="Q75" s="13" t="n"/>
      <c r="R75" s="14">
        <f>SUM(N75:Q75)</f>
        <v/>
      </c>
      <c r="S75" s="13" t="n"/>
      <c r="T75" s="13" t="n"/>
      <c r="U75" s="13" t="n"/>
      <c r="V75" s="13" t="n"/>
      <c r="W75" s="14">
        <f>SUM(S75:V75)</f>
        <v/>
      </c>
      <c r="X75" s="13" t="n"/>
      <c r="Y75" s="13" t="n"/>
      <c r="Z75" s="13" t="n"/>
      <c r="AA75" s="13" t="n"/>
      <c r="AB75" s="14">
        <f>SUM(X75:AA75)</f>
        <v/>
      </c>
      <c r="AC75" s="13" t="n"/>
      <c r="AD75" s="13" t="n"/>
      <c r="AE75" s="13" t="n"/>
      <c r="AF75" s="13" t="n"/>
      <c r="AG75" s="14">
        <f>SUM(AC75:AF75)</f>
        <v/>
      </c>
      <c r="AH75" s="13" t="n"/>
      <c r="AI75" s="13" t="n"/>
      <c r="AJ75" s="13" t="n"/>
      <c r="AK75" s="13" t="n"/>
      <c r="AL75" s="14">
        <f>SUM(AH75:AK75)</f>
        <v/>
      </c>
      <c r="AM75" s="13" t="n">
        <v>0</v>
      </c>
      <c r="AN75" s="13" t="n">
        <v>0</v>
      </c>
      <c r="AO75" s="13" t="n">
        <v>0</v>
      </c>
      <c r="AP75" s="13" t="n">
        <v>0</v>
      </c>
      <c r="AQ75" s="14">
        <f>SUM(AM75:AP75)</f>
        <v/>
      </c>
      <c r="AR75" s="13" t="n">
        <v>0</v>
      </c>
      <c r="AS75" s="13" t="n">
        <v>0</v>
      </c>
      <c r="AT75" s="13" t="n">
        <v>0</v>
      </c>
      <c r="AU75" s="13" t="n">
        <v>0</v>
      </c>
      <c r="AV75" s="14">
        <f>SUM(AR75:AU75)</f>
        <v/>
      </c>
      <c r="AW75" s="13" t="n">
        <v>0</v>
      </c>
      <c r="AX75" s="13" t="n">
        <v>0</v>
      </c>
      <c r="AY75" s="13" t="n">
        <v>0</v>
      </c>
      <c r="AZ75" s="13" t="n">
        <v>0</v>
      </c>
      <c r="BA75" s="14">
        <f>SUM(AW75:AZ75)</f>
        <v/>
      </c>
      <c r="BB75" s="13" t="n">
        <v>0</v>
      </c>
    </row>
    <row r="76">
      <c r="B76" s="12" t="inlineStr">
        <is>
          <t>(=) Net change in cash</t>
        </is>
      </c>
      <c r="C76" s="6" t="inlineStr">
        <is>
          <t>USD mn</t>
        </is>
      </c>
      <c r="D76" s="13" t="n"/>
      <c r="E76" s="13" t="n"/>
      <c r="F76" s="13" t="n"/>
      <c r="G76" s="13" t="n"/>
      <c r="H76" s="14">
        <f>SUM(D76:G76)</f>
        <v/>
      </c>
      <c r="I76" s="13" t="n"/>
      <c r="J76" s="13" t="n"/>
      <c r="K76" s="13" t="n"/>
      <c r="L76" s="13" t="n"/>
      <c r="M76" s="14">
        <f>SUM(I76:L76)</f>
        <v/>
      </c>
      <c r="N76" s="13" t="n"/>
      <c r="O76" s="13" t="n"/>
      <c r="P76" s="13" t="n"/>
      <c r="Q76" s="13" t="n"/>
      <c r="R76" s="14">
        <f>SUM(N76:Q76)</f>
        <v/>
      </c>
      <c r="S76" s="13" t="n"/>
      <c r="T76" s="13" t="n"/>
      <c r="U76" s="13" t="n"/>
      <c r="V76" s="13" t="n"/>
      <c r="W76" s="14">
        <f>SUM(S76:V76)</f>
        <v/>
      </c>
      <c r="X76" s="13" t="n"/>
      <c r="Y76" s="13" t="n"/>
      <c r="Z76" s="13" t="n"/>
      <c r="AA76" s="13" t="n"/>
      <c r="AB76" s="14">
        <f>SUM(X76:AA76)</f>
        <v/>
      </c>
      <c r="AC76" s="13" t="n"/>
      <c r="AD76" s="13" t="n"/>
      <c r="AE76" s="13" t="n"/>
      <c r="AF76" s="13" t="n"/>
      <c r="AG76" s="14">
        <f>SUM(AC76:AF76)</f>
        <v/>
      </c>
      <c r="AH76" s="13" t="n"/>
      <c r="AI76" s="13" t="n"/>
      <c r="AJ76" s="13" t="n"/>
      <c r="AK76" s="13" t="n"/>
      <c r="AL76" s="14">
        <f>SUM(AH76:AK76)</f>
        <v/>
      </c>
      <c r="AM76" s="13" t="n">
        <v>298.9973</v>
      </c>
      <c r="AN76" s="13" t="n">
        <v>313.4373</v>
      </c>
      <c r="AO76" s="13" t="n">
        <v>306.4772</v>
      </c>
      <c r="AP76" s="13" t="n">
        <v>304.7612</v>
      </c>
      <c r="AQ76" s="14">
        <f>SUM(AM76:AP76)</f>
        <v/>
      </c>
      <c r="AR76" s="13" t="n">
        <v>313.9571</v>
      </c>
      <c r="AS76" s="13" t="n">
        <v>328.8209</v>
      </c>
      <c r="AT76" s="13" t="n">
        <v>321.4371</v>
      </c>
      <c r="AU76" s="13" t="n">
        <v>319.5092</v>
      </c>
      <c r="AV76" s="14">
        <f>SUM(AR76:AU76)</f>
        <v/>
      </c>
      <c r="AW76" s="13" t="n">
        <v>328.917</v>
      </c>
      <c r="AX76" s="13" t="n">
        <v>344.2046</v>
      </c>
      <c r="AY76" s="13" t="n">
        <v>336.397</v>
      </c>
      <c r="AZ76" s="13" t="n">
        <v>334.2572</v>
      </c>
      <c r="BA76" s="14">
        <f>SUM(AW76:AZ76)</f>
        <v/>
      </c>
      <c r="BB76" s="13" t="n">
        <v>343.8769</v>
      </c>
    </row>
    <row r="77">
      <c r="B77" s="12" t="inlineStr">
        <is>
          <t>Cash — beginning of period</t>
        </is>
      </c>
      <c r="C77" s="6" t="inlineStr">
        <is>
          <t>USD mn</t>
        </is>
      </c>
      <c r="D77" s="13" t="n"/>
      <c r="E77" s="13" t="n"/>
      <c r="F77" s="13" t="n"/>
      <c r="G77" s="13" t="n"/>
      <c r="H77" s="14">
        <f>SUM(D77:G77)</f>
        <v/>
      </c>
      <c r="I77" s="13" t="n"/>
      <c r="J77" s="13" t="n"/>
      <c r="K77" s="13" t="n"/>
      <c r="L77" s="13" t="n"/>
      <c r="M77" s="14">
        <f>SUM(I77:L77)</f>
        <v/>
      </c>
      <c r="N77" s="13" t="n"/>
      <c r="O77" s="13" t="n"/>
      <c r="P77" s="13" t="n"/>
      <c r="Q77" s="13" t="n"/>
      <c r="R77" s="14">
        <f>SUM(N77:Q77)</f>
        <v/>
      </c>
      <c r="S77" s="13" t="n"/>
      <c r="T77" s="13" t="n"/>
      <c r="U77" s="13" t="n"/>
      <c r="V77" s="13" t="n"/>
      <c r="W77" s="14">
        <f>SUM(S77:V77)</f>
        <v/>
      </c>
      <c r="X77" s="13" t="n"/>
      <c r="Y77" s="13" t="n"/>
      <c r="Z77" s="13" t="n"/>
      <c r="AA77" s="13" t="n"/>
      <c r="AB77" s="14">
        <f>SUM(X77:AA77)</f>
        <v/>
      </c>
      <c r="AC77" s="13" t="n"/>
      <c r="AD77" s="13" t="n"/>
      <c r="AE77" s="13" t="n"/>
      <c r="AF77" s="13" t="n"/>
      <c r="AG77" s="14">
        <f>SUM(AC77:AF77)</f>
        <v/>
      </c>
      <c r="AH77" s="13" t="n"/>
      <c r="AI77" s="13" t="n"/>
      <c r="AJ77" s="13" t="n"/>
      <c r="AK77" s="13" t="n"/>
      <c r="AL77" s="14">
        <f>SUM(AH77:AK77)</f>
        <v/>
      </c>
      <c r="AM77" s="13" t="n">
        <v>675</v>
      </c>
      <c r="AN77" s="13" t="n">
        <v>973.9972</v>
      </c>
      <c r="AO77" s="13" t="n">
        <v>1287.4345</v>
      </c>
      <c r="AP77" s="13" t="n">
        <v>1593.9117</v>
      </c>
      <c r="AQ77" s="14">
        <f>SUM(AM77:AP77)</f>
        <v/>
      </c>
      <c r="AR77" s="13" t="n">
        <v>1898.6729</v>
      </c>
      <c r="AS77" s="13" t="n">
        <v>2212.6301</v>
      </c>
      <c r="AT77" s="13" t="n">
        <v>2541.451</v>
      </c>
      <c r="AU77" s="13" t="n">
        <v>2862.8881</v>
      </c>
      <c r="AV77" s="14">
        <f>SUM(AR77:AU77)</f>
        <v/>
      </c>
      <c r="AW77" s="13" t="n">
        <v>3182.3973</v>
      </c>
      <c r="AX77" s="13" t="n">
        <v>3511.3143</v>
      </c>
      <c r="AY77" s="13" t="n">
        <v>3855.5189</v>
      </c>
      <c r="AZ77" s="13" t="n">
        <v>4191.9159</v>
      </c>
      <c r="BA77" s="14">
        <f>SUM(AW77:AZ77)</f>
        <v/>
      </c>
      <c r="BB77" s="13" t="n">
        <v>4526.1731</v>
      </c>
    </row>
    <row r="78">
      <c r="B78" s="12" t="inlineStr">
        <is>
          <t>Cash — end of period</t>
        </is>
      </c>
      <c r="C78" s="6" t="inlineStr">
        <is>
          <t>USD mn</t>
        </is>
      </c>
      <c r="D78" s="13" t="n"/>
      <c r="E78" s="13" t="n"/>
      <c r="F78" s="13" t="n"/>
      <c r="G78" s="13" t="n"/>
      <c r="H78" s="14">
        <f>SUM(D78:G78)</f>
        <v/>
      </c>
      <c r="I78" s="13" t="n"/>
      <c r="J78" s="13" t="n"/>
      <c r="K78" s="13" t="n"/>
      <c r="L78" s="13" t="n"/>
      <c r="M78" s="14">
        <f>SUM(I78:L78)</f>
        <v/>
      </c>
      <c r="N78" s="13" t="n"/>
      <c r="O78" s="13" t="n"/>
      <c r="P78" s="13" t="n"/>
      <c r="Q78" s="13" t="n"/>
      <c r="R78" s="14">
        <f>SUM(N78:Q78)</f>
        <v/>
      </c>
      <c r="S78" s="13" t="n"/>
      <c r="T78" s="13" t="n"/>
      <c r="U78" s="13" t="n"/>
      <c r="V78" s="13" t="n"/>
      <c r="W78" s="14">
        <f>SUM(S78:V78)</f>
        <v/>
      </c>
      <c r="X78" s="13" t="n"/>
      <c r="Y78" s="13" t="n"/>
      <c r="Z78" s="13" t="n"/>
      <c r="AA78" s="13" t="n"/>
      <c r="AB78" s="14">
        <f>SUM(X78:AA78)</f>
        <v/>
      </c>
      <c r="AC78" s="13" t="n"/>
      <c r="AD78" s="13" t="n"/>
      <c r="AE78" s="13" t="n"/>
      <c r="AF78" s="13" t="n"/>
      <c r="AG78" s="14">
        <f>SUM(AC78:AF78)</f>
        <v/>
      </c>
      <c r="AH78" s="13" t="n"/>
      <c r="AI78" s="13" t="n"/>
      <c r="AJ78" s="13" t="n"/>
      <c r="AK78" s="13" t="n"/>
      <c r="AL78" s="14">
        <f>SUM(AH78:AK78)</f>
        <v/>
      </c>
      <c r="AM78" s="13" t="n">
        <v>973.9972</v>
      </c>
      <c r="AN78" s="13" t="n">
        <v>1287.4345</v>
      </c>
      <c r="AO78" s="13" t="n">
        <v>1593.9117</v>
      </c>
      <c r="AP78" s="13" t="n">
        <v>1898.6729</v>
      </c>
      <c r="AQ78" s="14">
        <f>SUM(AM78:AP78)</f>
        <v/>
      </c>
      <c r="AR78" s="13" t="n">
        <v>2212.6301</v>
      </c>
      <c r="AS78" s="13" t="n">
        <v>2541.451</v>
      </c>
      <c r="AT78" s="13" t="n">
        <v>2862.8881</v>
      </c>
      <c r="AU78" s="13" t="n">
        <v>3182.3973</v>
      </c>
      <c r="AV78" s="14">
        <f>SUM(AR78:AU78)</f>
        <v/>
      </c>
      <c r="AW78" s="13" t="n">
        <v>3511.3143</v>
      </c>
      <c r="AX78" s="13" t="n">
        <v>3855.5189</v>
      </c>
      <c r="AY78" s="13" t="n">
        <v>4191.9159</v>
      </c>
      <c r="AZ78" s="13" t="n">
        <v>4526.1731</v>
      </c>
      <c r="BA78" s="14">
        <f>SUM(AW78:AZ78)</f>
        <v/>
      </c>
      <c r="BB78" s="13" t="n">
        <v>4870.05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BB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</cols>
  <sheetData>
    <row r="1">
      <c r="B1" s="5" t="inlineStr">
        <is>
          <t>SYNTH — FICTITIOUS DATA FOR ENGINE TESTING (not PRIO)</t>
        </is>
      </c>
    </row>
    <row r="2">
      <c r="B2" s="6" t="inlineStr">
        <is>
          <t>Operational history by asset. Adaptable structure: fill in only what the company discloses.</t>
        </is>
      </c>
    </row>
    <row r="3">
      <c r="B3" s="6" t="inlineStr">
        <is>
          <t>Currency: USD mn unless noted (confirm reporting currency)  |  Sign convention: revenues (+), expenses (−)  |  Blue = input, black = formula</t>
        </is>
      </c>
    </row>
    <row r="5">
      <c r="B5" s="7" t="inlineStr">
        <is>
          <t>Line item</t>
        </is>
      </c>
      <c r="C5" s="7" t="inlineStr">
        <is>
          <t>Unit</t>
        </is>
      </c>
      <c r="D5" s="8" t="inlineStr">
        <is>
          <t>1Q16</t>
        </is>
      </c>
      <c r="E5" s="8" t="inlineStr">
        <is>
          <t>2Q16</t>
        </is>
      </c>
      <c r="F5" s="8" t="inlineStr">
        <is>
          <t>3Q16</t>
        </is>
      </c>
      <c r="G5" s="8" t="inlineStr">
        <is>
          <t>4Q16</t>
        </is>
      </c>
      <c r="H5" s="9" t="inlineStr">
        <is>
          <t>2016</t>
        </is>
      </c>
      <c r="I5" s="8" t="inlineStr">
        <is>
          <t>1Q17</t>
        </is>
      </c>
      <c r="J5" s="8" t="inlineStr">
        <is>
          <t>2Q17</t>
        </is>
      </c>
      <c r="K5" s="8" t="inlineStr">
        <is>
          <t>3Q17</t>
        </is>
      </c>
      <c r="L5" s="8" t="inlineStr">
        <is>
          <t>4Q17</t>
        </is>
      </c>
      <c r="M5" s="9" t="inlineStr">
        <is>
          <t>2017</t>
        </is>
      </c>
      <c r="N5" s="8" t="inlineStr">
        <is>
          <t>1Q18</t>
        </is>
      </c>
      <c r="O5" s="8" t="inlineStr">
        <is>
          <t>2Q18</t>
        </is>
      </c>
      <c r="P5" s="8" t="inlineStr">
        <is>
          <t>3Q18</t>
        </is>
      </c>
      <c r="Q5" s="8" t="inlineStr">
        <is>
          <t>4Q18</t>
        </is>
      </c>
      <c r="R5" s="9" t="inlineStr">
        <is>
          <t>2018</t>
        </is>
      </c>
      <c r="S5" s="8" t="inlineStr">
        <is>
          <t>1Q19</t>
        </is>
      </c>
      <c r="T5" s="8" t="inlineStr">
        <is>
          <t>2Q19</t>
        </is>
      </c>
      <c r="U5" s="8" t="inlineStr">
        <is>
          <t>3Q19</t>
        </is>
      </c>
      <c r="V5" s="8" t="inlineStr">
        <is>
          <t>4Q19</t>
        </is>
      </c>
      <c r="W5" s="9" t="inlineStr">
        <is>
          <t>2019</t>
        </is>
      </c>
      <c r="X5" s="8" t="inlineStr">
        <is>
          <t>1Q20</t>
        </is>
      </c>
      <c r="Y5" s="8" t="inlineStr">
        <is>
          <t>2Q20</t>
        </is>
      </c>
      <c r="Z5" s="8" t="inlineStr">
        <is>
          <t>3Q20</t>
        </is>
      </c>
      <c r="AA5" s="8" t="inlineStr">
        <is>
          <t>4Q20</t>
        </is>
      </c>
      <c r="AB5" s="9" t="inlineStr">
        <is>
          <t>2020</t>
        </is>
      </c>
      <c r="AC5" s="8" t="inlineStr">
        <is>
          <t>1Q21</t>
        </is>
      </c>
      <c r="AD5" s="8" t="inlineStr">
        <is>
          <t>2Q21</t>
        </is>
      </c>
      <c r="AE5" s="8" t="inlineStr">
        <is>
          <t>3Q21</t>
        </is>
      </c>
      <c r="AF5" s="8" t="inlineStr">
        <is>
          <t>4Q21</t>
        </is>
      </c>
      <c r="AG5" s="9" t="inlineStr">
        <is>
          <t>2021</t>
        </is>
      </c>
      <c r="AH5" s="8" t="inlineStr">
        <is>
          <t>1Q22</t>
        </is>
      </c>
      <c r="AI5" s="8" t="inlineStr">
        <is>
          <t>2Q22</t>
        </is>
      </c>
      <c r="AJ5" s="8" t="inlineStr">
        <is>
          <t>3Q22</t>
        </is>
      </c>
      <c r="AK5" s="8" t="inlineStr">
        <is>
          <t>4Q22</t>
        </is>
      </c>
      <c r="AL5" s="9" t="inlineStr">
        <is>
          <t>2022</t>
        </is>
      </c>
      <c r="AM5" s="8" t="inlineStr">
        <is>
          <t>1Q23</t>
        </is>
      </c>
      <c r="AN5" s="8" t="inlineStr">
        <is>
          <t>2Q23</t>
        </is>
      </c>
      <c r="AO5" s="8" t="inlineStr">
        <is>
          <t>3Q23</t>
        </is>
      </c>
      <c r="AP5" s="8" t="inlineStr">
        <is>
          <t>4Q23</t>
        </is>
      </c>
      <c r="AQ5" s="9" t="inlineStr">
        <is>
          <t>2023</t>
        </is>
      </c>
      <c r="AR5" s="8" t="inlineStr">
        <is>
          <t>1Q24</t>
        </is>
      </c>
      <c r="AS5" s="8" t="inlineStr">
        <is>
          <t>2Q24</t>
        </is>
      </c>
      <c r="AT5" s="8" t="inlineStr">
        <is>
          <t>3Q24</t>
        </is>
      </c>
      <c r="AU5" s="8" t="inlineStr">
        <is>
          <t>4Q24</t>
        </is>
      </c>
      <c r="AV5" s="9" t="inlineStr">
        <is>
          <t>2024</t>
        </is>
      </c>
      <c r="AW5" s="8" t="inlineStr">
        <is>
          <t>1Q25</t>
        </is>
      </c>
      <c r="AX5" s="8" t="inlineStr">
        <is>
          <t>2Q25</t>
        </is>
      </c>
      <c r="AY5" s="8" t="inlineStr">
        <is>
          <t>3Q25</t>
        </is>
      </c>
      <c r="AZ5" s="8" t="inlineStr">
        <is>
          <t>4Q25</t>
        </is>
      </c>
      <c r="BA5" s="9" t="inlineStr">
        <is>
          <t>2025</t>
        </is>
      </c>
      <c r="BB5" s="8" t="inlineStr">
        <is>
          <t>1Q26</t>
        </is>
      </c>
    </row>
    <row r="6"/>
    <row r="7">
      <c r="B7" s="10" t="inlineStr">
        <is>
          <t>ASSET SETUP — name the assets/fields (blue). Unused: leave blank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</row>
    <row r="8">
      <c r="B8" s="12" t="inlineStr">
        <is>
          <t>Asset 1 name</t>
        </is>
      </c>
      <c r="C8" s="20" t="inlineStr">
        <is>
          <t>Field Alpha</t>
        </is>
      </c>
    </row>
    <row r="9">
      <c r="B9" s="12" t="inlineStr">
        <is>
          <t>Asset 2 name</t>
        </is>
      </c>
      <c r="C9" s="20" t="inlineStr">
        <is>
          <t>Field Bravo</t>
        </is>
      </c>
    </row>
    <row r="10">
      <c r="B10" s="12" t="inlineStr">
        <is>
          <t>Asset 3 name</t>
        </is>
      </c>
      <c r="C10" s="20" t="inlineStr">
        <is>
          <t>Field Charlie</t>
        </is>
      </c>
    </row>
    <row r="11">
      <c r="B11" s="12" t="inlineStr">
        <is>
          <t>Asset 4 name</t>
        </is>
      </c>
      <c r="C11" s="20" t="inlineStr">
        <is>
          <t>Asset 4</t>
        </is>
      </c>
    </row>
    <row r="12">
      <c r="B12" s="12" t="inlineStr">
        <is>
          <t>Asset 5 name</t>
        </is>
      </c>
      <c r="C12" s="20" t="inlineStr">
        <is>
          <t>Asset 5</t>
        </is>
      </c>
    </row>
    <row r="13">
      <c r="B13" s="12" t="inlineStr">
        <is>
          <t>Asset 6 name</t>
        </is>
      </c>
      <c r="C13" s="20" t="inlineStr">
        <is>
          <t>Asset 6</t>
        </is>
      </c>
    </row>
    <row r="14">
      <c r="B14" s="12" t="inlineStr">
        <is>
          <t>Asset 7 name</t>
        </is>
      </c>
      <c r="C14" s="20" t="inlineStr">
        <is>
          <t>Asset 7</t>
        </is>
      </c>
    </row>
    <row r="15">
      <c r="B15" s="12" t="inlineStr">
        <is>
          <t>Asset 8 name</t>
        </is>
      </c>
      <c r="C15" s="20" t="inlineStr">
        <is>
          <t>Asset 8</t>
        </is>
      </c>
    </row>
    <row r="16"/>
    <row r="17">
      <c r="B17" s="10" t="inlineStr">
        <is>
          <t>PRODUCTION BY ASSET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</row>
    <row r="18">
      <c r="B18" s="12">
        <f>$C$8</f>
        <v/>
      </c>
      <c r="C18" s="6" t="inlineStr">
        <is>
          <t>kboe/d</t>
        </is>
      </c>
      <c r="D18" s="17" t="n"/>
      <c r="E18" s="17" t="n"/>
      <c r="F18" s="17" t="n"/>
      <c r="G18" s="17" t="n"/>
      <c r="H18" s="18">
        <f>IFERROR(AVERAGE(D18:G18),"-")</f>
        <v/>
      </c>
      <c r="I18" s="17" t="n"/>
      <c r="J18" s="17" t="n"/>
      <c r="K18" s="17" t="n"/>
      <c r="L18" s="17" t="n"/>
      <c r="M18" s="18">
        <f>IFERROR(AVERAGE(I18:L18),"-")</f>
        <v/>
      </c>
      <c r="N18" s="17" t="n"/>
      <c r="O18" s="17" t="n"/>
      <c r="P18" s="17" t="n"/>
      <c r="Q18" s="17" t="n"/>
      <c r="R18" s="18">
        <f>IFERROR(AVERAGE(N18:Q18),"-")</f>
        <v/>
      </c>
      <c r="S18" s="17" t="n"/>
      <c r="T18" s="17" t="n"/>
      <c r="U18" s="17" t="n"/>
      <c r="V18" s="17" t="n"/>
      <c r="W18" s="18">
        <f>IFERROR(AVERAGE(S18:V18),"-")</f>
        <v/>
      </c>
      <c r="X18" s="17" t="n"/>
      <c r="Y18" s="17" t="n"/>
      <c r="Z18" s="17" t="n"/>
      <c r="AA18" s="17" t="n"/>
      <c r="AB18" s="18">
        <f>IFERROR(AVERAGE(X18:AA18),"-")</f>
        <v/>
      </c>
      <c r="AC18" s="17" t="n"/>
      <c r="AD18" s="17" t="n"/>
      <c r="AE18" s="17" t="n"/>
      <c r="AF18" s="17" t="n"/>
      <c r="AG18" s="18">
        <f>IFERROR(AVERAGE(AC18:AF18),"-")</f>
        <v/>
      </c>
      <c r="AH18" s="17" t="n"/>
      <c r="AI18" s="17" t="n"/>
      <c r="AJ18" s="17" t="n"/>
      <c r="AK18" s="17" t="n"/>
      <c r="AL18" s="18">
        <f>IFERROR(AVERAGE(AH18:AK18),"-")</f>
        <v/>
      </c>
      <c r="AM18" s="17" t="n">
        <v>45</v>
      </c>
      <c r="AN18" s="17" t="n">
        <v>45.45</v>
      </c>
      <c r="AO18" s="17" t="n">
        <v>45.9</v>
      </c>
      <c r="AP18" s="17" t="n">
        <v>46.35</v>
      </c>
      <c r="AQ18" s="18">
        <f>IFERROR(AVERAGE(AM18:AP18),"-")</f>
        <v/>
      </c>
      <c r="AR18" s="17" t="n">
        <v>46.8</v>
      </c>
      <c r="AS18" s="17" t="n">
        <v>47.25</v>
      </c>
      <c r="AT18" s="17" t="n">
        <v>47.7</v>
      </c>
      <c r="AU18" s="17" t="n">
        <v>48.15</v>
      </c>
      <c r="AV18" s="18">
        <f>IFERROR(AVERAGE(AR18:AU18),"-")</f>
        <v/>
      </c>
      <c r="AW18" s="17" t="n">
        <v>48.6</v>
      </c>
      <c r="AX18" s="17" t="n">
        <v>49.05</v>
      </c>
      <c r="AY18" s="17" t="n">
        <v>49.5</v>
      </c>
      <c r="AZ18" s="17" t="n">
        <v>49.95</v>
      </c>
      <c r="BA18" s="18">
        <f>IFERROR(AVERAGE(AW18:AZ18),"-")</f>
        <v/>
      </c>
      <c r="BB18" s="17" t="n">
        <v>50.4</v>
      </c>
    </row>
    <row r="19">
      <c r="B19" s="12">
        <f>$C$9</f>
        <v/>
      </c>
      <c r="C19" s="6" t="inlineStr">
        <is>
          <t>kboe/d</t>
        </is>
      </c>
      <c r="D19" s="17" t="n"/>
      <c r="E19" s="17" t="n"/>
      <c r="F19" s="17" t="n"/>
      <c r="G19" s="17" t="n"/>
      <c r="H19" s="18">
        <f>IFERROR(AVERAGE(D19:G19),"-")</f>
        <v/>
      </c>
      <c r="I19" s="17" t="n"/>
      <c r="J19" s="17" t="n"/>
      <c r="K19" s="17" t="n"/>
      <c r="L19" s="17" t="n"/>
      <c r="M19" s="18">
        <f>IFERROR(AVERAGE(I19:L19),"-")</f>
        <v/>
      </c>
      <c r="N19" s="17" t="n"/>
      <c r="O19" s="17" t="n"/>
      <c r="P19" s="17" t="n"/>
      <c r="Q19" s="17" t="n"/>
      <c r="R19" s="18">
        <f>IFERROR(AVERAGE(N19:Q19),"-")</f>
        <v/>
      </c>
      <c r="S19" s="17" t="n"/>
      <c r="T19" s="17" t="n"/>
      <c r="U19" s="17" t="n"/>
      <c r="V19" s="17" t="n"/>
      <c r="W19" s="18">
        <f>IFERROR(AVERAGE(S19:V19),"-")</f>
        <v/>
      </c>
      <c r="X19" s="17" t="n"/>
      <c r="Y19" s="17" t="n"/>
      <c r="Z19" s="17" t="n"/>
      <c r="AA19" s="17" t="n"/>
      <c r="AB19" s="18">
        <f>IFERROR(AVERAGE(X19:AA19),"-")</f>
        <v/>
      </c>
      <c r="AC19" s="17" t="n"/>
      <c r="AD19" s="17" t="n"/>
      <c r="AE19" s="17" t="n"/>
      <c r="AF19" s="17" t="n"/>
      <c r="AG19" s="18">
        <f>IFERROR(AVERAGE(AC19:AF19),"-")</f>
        <v/>
      </c>
      <c r="AH19" s="17" t="n"/>
      <c r="AI19" s="17" t="n"/>
      <c r="AJ19" s="17" t="n"/>
      <c r="AK19" s="17" t="n"/>
      <c r="AL19" s="18">
        <f>IFERROR(AVERAGE(AH19:AK19),"-")</f>
        <v/>
      </c>
      <c r="AM19" s="17" t="n">
        <v>30</v>
      </c>
      <c r="AN19" s="17" t="n">
        <v>30.3</v>
      </c>
      <c r="AO19" s="17" t="n">
        <v>30.6</v>
      </c>
      <c r="AP19" s="17" t="n">
        <v>30.9</v>
      </c>
      <c r="AQ19" s="18">
        <f>IFERROR(AVERAGE(AM19:AP19),"-")</f>
        <v/>
      </c>
      <c r="AR19" s="17" t="n">
        <v>31.2</v>
      </c>
      <c r="AS19" s="17" t="n">
        <v>31.5</v>
      </c>
      <c r="AT19" s="17" t="n">
        <v>31.8</v>
      </c>
      <c r="AU19" s="17" t="n">
        <v>32.1</v>
      </c>
      <c r="AV19" s="18">
        <f>IFERROR(AVERAGE(AR19:AU19),"-")</f>
        <v/>
      </c>
      <c r="AW19" s="17" t="n">
        <v>32.4</v>
      </c>
      <c r="AX19" s="17" t="n">
        <v>32.7</v>
      </c>
      <c r="AY19" s="17" t="n">
        <v>33</v>
      </c>
      <c r="AZ19" s="17" t="n">
        <v>33.3</v>
      </c>
      <c r="BA19" s="18">
        <f>IFERROR(AVERAGE(AW19:AZ19),"-")</f>
        <v/>
      </c>
      <c r="BB19" s="17" t="n">
        <v>33.6</v>
      </c>
    </row>
    <row r="20">
      <c r="B20" s="12">
        <f>$C$10</f>
        <v/>
      </c>
      <c r="C20" s="6" t="inlineStr">
        <is>
          <t>kboe/d</t>
        </is>
      </c>
      <c r="D20" s="17" t="n"/>
      <c r="E20" s="17" t="n"/>
      <c r="F20" s="17" t="n"/>
      <c r="G20" s="17" t="n"/>
      <c r="H20" s="18">
        <f>IFERROR(AVERAGE(D20:G20),"-")</f>
        <v/>
      </c>
      <c r="I20" s="17" t="n"/>
      <c r="J20" s="17" t="n"/>
      <c r="K20" s="17" t="n"/>
      <c r="L20" s="17" t="n"/>
      <c r="M20" s="18">
        <f>IFERROR(AVERAGE(I20:L20),"-")</f>
        <v/>
      </c>
      <c r="N20" s="17" t="n"/>
      <c r="O20" s="17" t="n"/>
      <c r="P20" s="17" t="n"/>
      <c r="Q20" s="17" t="n"/>
      <c r="R20" s="18">
        <f>IFERROR(AVERAGE(N20:Q20),"-")</f>
        <v/>
      </c>
      <c r="S20" s="17" t="n"/>
      <c r="T20" s="17" t="n"/>
      <c r="U20" s="17" t="n"/>
      <c r="V20" s="17" t="n"/>
      <c r="W20" s="18">
        <f>IFERROR(AVERAGE(S20:V20),"-")</f>
        <v/>
      </c>
      <c r="X20" s="17" t="n"/>
      <c r="Y20" s="17" t="n"/>
      <c r="Z20" s="17" t="n"/>
      <c r="AA20" s="17" t="n"/>
      <c r="AB20" s="18">
        <f>IFERROR(AVERAGE(X20:AA20),"-")</f>
        <v/>
      </c>
      <c r="AC20" s="17" t="n"/>
      <c r="AD20" s="17" t="n"/>
      <c r="AE20" s="17" t="n"/>
      <c r="AF20" s="17" t="n"/>
      <c r="AG20" s="18">
        <f>IFERROR(AVERAGE(AC20:AF20),"-")</f>
        <v/>
      </c>
      <c r="AH20" s="17" t="n"/>
      <c r="AI20" s="17" t="n"/>
      <c r="AJ20" s="17" t="n"/>
      <c r="AK20" s="17" t="n"/>
      <c r="AL20" s="18">
        <f>IFERROR(AVERAGE(AH20:AK20),"-")</f>
        <v/>
      </c>
      <c r="AM20" s="17" t="n">
        <v>15</v>
      </c>
      <c r="AN20" s="17" t="n">
        <v>15.15</v>
      </c>
      <c r="AO20" s="17" t="n">
        <v>15.3</v>
      </c>
      <c r="AP20" s="17" t="n">
        <v>15.45</v>
      </c>
      <c r="AQ20" s="18">
        <f>IFERROR(AVERAGE(AM20:AP20),"-")</f>
        <v/>
      </c>
      <c r="AR20" s="17" t="n">
        <v>15.6</v>
      </c>
      <c r="AS20" s="17" t="n">
        <v>15.75</v>
      </c>
      <c r="AT20" s="17" t="n">
        <v>15.9</v>
      </c>
      <c r="AU20" s="17" t="n">
        <v>16.05</v>
      </c>
      <c r="AV20" s="18">
        <f>IFERROR(AVERAGE(AR20:AU20),"-")</f>
        <v/>
      </c>
      <c r="AW20" s="17" t="n">
        <v>16.2</v>
      </c>
      <c r="AX20" s="17" t="n">
        <v>16.35</v>
      </c>
      <c r="AY20" s="17" t="n">
        <v>16.5</v>
      </c>
      <c r="AZ20" s="17" t="n">
        <v>16.65</v>
      </c>
      <c r="BA20" s="18">
        <f>IFERROR(AVERAGE(AW20:AZ20),"-")</f>
        <v/>
      </c>
      <c r="BB20" s="17" t="n">
        <v>16.8</v>
      </c>
    </row>
    <row r="21">
      <c r="B21" s="12">
        <f>$C$11</f>
        <v/>
      </c>
      <c r="C21" s="6" t="inlineStr">
        <is>
          <t>kboe/d</t>
        </is>
      </c>
      <c r="D21" s="17" t="n"/>
      <c r="E21" s="17" t="n"/>
      <c r="F21" s="17" t="n"/>
      <c r="G21" s="17" t="n"/>
      <c r="H21" s="18">
        <f>IFERROR(AVERAGE(D21:G21),"-")</f>
        <v/>
      </c>
      <c r="I21" s="17" t="n"/>
      <c r="J21" s="17" t="n"/>
      <c r="K21" s="17" t="n"/>
      <c r="L21" s="17" t="n"/>
      <c r="M21" s="18">
        <f>IFERROR(AVERAGE(I21:L21),"-")</f>
        <v/>
      </c>
      <c r="N21" s="17" t="n"/>
      <c r="O21" s="17" t="n"/>
      <c r="P21" s="17" t="n"/>
      <c r="Q21" s="17" t="n"/>
      <c r="R21" s="18">
        <f>IFERROR(AVERAGE(N21:Q21),"-")</f>
        <v/>
      </c>
      <c r="S21" s="17" t="n"/>
      <c r="T21" s="17" t="n"/>
      <c r="U21" s="17" t="n"/>
      <c r="V21" s="17" t="n"/>
      <c r="W21" s="18">
        <f>IFERROR(AVERAGE(S21:V21),"-")</f>
        <v/>
      </c>
      <c r="X21" s="17" t="n"/>
      <c r="Y21" s="17" t="n"/>
      <c r="Z21" s="17" t="n"/>
      <c r="AA21" s="17" t="n"/>
      <c r="AB21" s="18">
        <f>IFERROR(AVERAGE(X21:AA21),"-")</f>
        <v/>
      </c>
      <c r="AC21" s="17" t="n"/>
      <c r="AD21" s="17" t="n"/>
      <c r="AE21" s="17" t="n"/>
      <c r="AF21" s="17" t="n"/>
      <c r="AG21" s="18">
        <f>IFERROR(AVERAGE(AC21:AF21),"-")</f>
        <v/>
      </c>
      <c r="AH21" s="17" t="n"/>
      <c r="AI21" s="17" t="n"/>
      <c r="AJ21" s="17" t="n"/>
      <c r="AK21" s="17" t="n"/>
      <c r="AL21" s="18">
        <f>IFERROR(AVERAGE(AH21:AK21),"-")</f>
        <v/>
      </c>
      <c r="AM21" s="17" t="n"/>
      <c r="AN21" s="17" t="n"/>
      <c r="AO21" s="17" t="n"/>
      <c r="AP21" s="17" t="n"/>
      <c r="AQ21" s="18">
        <f>IFERROR(AVERAGE(AM21:AP21),"-")</f>
        <v/>
      </c>
      <c r="AR21" s="17" t="n"/>
      <c r="AS21" s="17" t="n"/>
      <c r="AT21" s="17" t="n"/>
      <c r="AU21" s="17" t="n"/>
      <c r="AV21" s="18">
        <f>IFERROR(AVERAGE(AR21:AU21),"-")</f>
        <v/>
      </c>
      <c r="AW21" s="17" t="n"/>
      <c r="AX21" s="17" t="n"/>
      <c r="AY21" s="17" t="n"/>
      <c r="AZ21" s="17" t="n"/>
      <c r="BA21" s="18">
        <f>IFERROR(AVERAGE(AW21:AZ21),"-")</f>
        <v/>
      </c>
      <c r="BB21" s="17" t="n"/>
    </row>
    <row r="22">
      <c r="B22" s="12">
        <f>$C$12</f>
        <v/>
      </c>
      <c r="C22" s="6" t="inlineStr">
        <is>
          <t>kboe/d</t>
        </is>
      </c>
      <c r="D22" s="17" t="n"/>
      <c r="E22" s="17" t="n"/>
      <c r="F22" s="17" t="n"/>
      <c r="G22" s="17" t="n"/>
      <c r="H22" s="18">
        <f>IFERROR(AVERAGE(D22:G22),"-")</f>
        <v/>
      </c>
      <c r="I22" s="17" t="n"/>
      <c r="J22" s="17" t="n"/>
      <c r="K22" s="17" t="n"/>
      <c r="L22" s="17" t="n"/>
      <c r="M22" s="18">
        <f>IFERROR(AVERAGE(I22:L22),"-")</f>
        <v/>
      </c>
      <c r="N22" s="17" t="n"/>
      <c r="O22" s="17" t="n"/>
      <c r="P22" s="17" t="n"/>
      <c r="Q22" s="17" t="n"/>
      <c r="R22" s="18">
        <f>IFERROR(AVERAGE(N22:Q22),"-")</f>
        <v/>
      </c>
      <c r="S22" s="17" t="n"/>
      <c r="T22" s="17" t="n"/>
      <c r="U22" s="17" t="n"/>
      <c r="V22" s="17" t="n"/>
      <c r="W22" s="18">
        <f>IFERROR(AVERAGE(S22:V22),"-")</f>
        <v/>
      </c>
      <c r="X22" s="17" t="n"/>
      <c r="Y22" s="17" t="n"/>
      <c r="Z22" s="17" t="n"/>
      <c r="AA22" s="17" t="n"/>
      <c r="AB22" s="18">
        <f>IFERROR(AVERAGE(X22:AA22),"-")</f>
        <v/>
      </c>
      <c r="AC22" s="17" t="n"/>
      <c r="AD22" s="17" t="n"/>
      <c r="AE22" s="17" t="n"/>
      <c r="AF22" s="17" t="n"/>
      <c r="AG22" s="18">
        <f>IFERROR(AVERAGE(AC22:AF22),"-")</f>
        <v/>
      </c>
      <c r="AH22" s="17" t="n"/>
      <c r="AI22" s="17" t="n"/>
      <c r="AJ22" s="17" t="n"/>
      <c r="AK22" s="17" t="n"/>
      <c r="AL22" s="18">
        <f>IFERROR(AVERAGE(AH22:AK22),"-")</f>
        <v/>
      </c>
      <c r="AM22" s="17" t="n"/>
      <c r="AN22" s="17" t="n"/>
      <c r="AO22" s="17" t="n"/>
      <c r="AP22" s="17" t="n"/>
      <c r="AQ22" s="18">
        <f>IFERROR(AVERAGE(AM22:AP22),"-")</f>
        <v/>
      </c>
      <c r="AR22" s="17" t="n"/>
      <c r="AS22" s="17" t="n"/>
      <c r="AT22" s="17" t="n"/>
      <c r="AU22" s="17" t="n"/>
      <c r="AV22" s="18">
        <f>IFERROR(AVERAGE(AR22:AU22),"-")</f>
        <v/>
      </c>
      <c r="AW22" s="17" t="n"/>
      <c r="AX22" s="17" t="n"/>
      <c r="AY22" s="17" t="n"/>
      <c r="AZ22" s="17" t="n"/>
      <c r="BA22" s="18">
        <f>IFERROR(AVERAGE(AW22:AZ22),"-")</f>
        <v/>
      </c>
      <c r="BB22" s="17" t="n"/>
    </row>
    <row r="23">
      <c r="B23" s="12">
        <f>$C$13</f>
        <v/>
      </c>
      <c r="C23" s="6" t="inlineStr">
        <is>
          <t>kboe/d</t>
        </is>
      </c>
      <c r="D23" s="17" t="n"/>
      <c r="E23" s="17" t="n"/>
      <c r="F23" s="17" t="n"/>
      <c r="G23" s="17" t="n"/>
      <c r="H23" s="18">
        <f>IFERROR(AVERAGE(D23:G23),"-")</f>
        <v/>
      </c>
      <c r="I23" s="17" t="n"/>
      <c r="J23" s="17" t="n"/>
      <c r="K23" s="17" t="n"/>
      <c r="L23" s="17" t="n"/>
      <c r="M23" s="18">
        <f>IFERROR(AVERAGE(I23:L23),"-")</f>
        <v/>
      </c>
      <c r="N23" s="17" t="n"/>
      <c r="O23" s="17" t="n"/>
      <c r="P23" s="17" t="n"/>
      <c r="Q23" s="17" t="n"/>
      <c r="R23" s="18">
        <f>IFERROR(AVERAGE(N23:Q23),"-")</f>
        <v/>
      </c>
      <c r="S23" s="17" t="n"/>
      <c r="T23" s="17" t="n"/>
      <c r="U23" s="17" t="n"/>
      <c r="V23" s="17" t="n"/>
      <c r="W23" s="18">
        <f>IFERROR(AVERAGE(S23:V23),"-")</f>
        <v/>
      </c>
      <c r="X23" s="17" t="n"/>
      <c r="Y23" s="17" t="n"/>
      <c r="Z23" s="17" t="n"/>
      <c r="AA23" s="17" t="n"/>
      <c r="AB23" s="18">
        <f>IFERROR(AVERAGE(X23:AA23),"-")</f>
        <v/>
      </c>
      <c r="AC23" s="17" t="n"/>
      <c r="AD23" s="17" t="n"/>
      <c r="AE23" s="17" t="n"/>
      <c r="AF23" s="17" t="n"/>
      <c r="AG23" s="18">
        <f>IFERROR(AVERAGE(AC23:AF23),"-")</f>
        <v/>
      </c>
      <c r="AH23" s="17" t="n"/>
      <c r="AI23" s="17" t="n"/>
      <c r="AJ23" s="17" t="n"/>
      <c r="AK23" s="17" t="n"/>
      <c r="AL23" s="18">
        <f>IFERROR(AVERAGE(AH23:AK23),"-")</f>
        <v/>
      </c>
      <c r="AM23" s="17" t="n"/>
      <c r="AN23" s="17" t="n"/>
      <c r="AO23" s="17" t="n"/>
      <c r="AP23" s="17" t="n"/>
      <c r="AQ23" s="18">
        <f>IFERROR(AVERAGE(AM23:AP23),"-")</f>
        <v/>
      </c>
      <c r="AR23" s="17" t="n"/>
      <c r="AS23" s="17" t="n"/>
      <c r="AT23" s="17" t="n"/>
      <c r="AU23" s="17" t="n"/>
      <c r="AV23" s="18">
        <f>IFERROR(AVERAGE(AR23:AU23),"-")</f>
        <v/>
      </c>
      <c r="AW23" s="17" t="n"/>
      <c r="AX23" s="17" t="n"/>
      <c r="AY23" s="17" t="n"/>
      <c r="AZ23" s="17" t="n"/>
      <c r="BA23" s="18">
        <f>IFERROR(AVERAGE(AW23:AZ23),"-")</f>
        <v/>
      </c>
      <c r="BB23" s="17" t="n"/>
    </row>
    <row r="24">
      <c r="B24" s="12">
        <f>$C$14</f>
        <v/>
      </c>
      <c r="C24" s="6" t="inlineStr">
        <is>
          <t>kboe/d</t>
        </is>
      </c>
      <c r="D24" s="17" t="n"/>
      <c r="E24" s="17" t="n"/>
      <c r="F24" s="17" t="n"/>
      <c r="G24" s="17" t="n"/>
      <c r="H24" s="18">
        <f>IFERROR(AVERAGE(D24:G24),"-")</f>
        <v/>
      </c>
      <c r="I24" s="17" t="n"/>
      <c r="J24" s="17" t="n"/>
      <c r="K24" s="17" t="n"/>
      <c r="L24" s="17" t="n"/>
      <c r="M24" s="18">
        <f>IFERROR(AVERAGE(I24:L24),"-")</f>
        <v/>
      </c>
      <c r="N24" s="17" t="n"/>
      <c r="O24" s="17" t="n"/>
      <c r="P24" s="17" t="n"/>
      <c r="Q24" s="17" t="n"/>
      <c r="R24" s="18">
        <f>IFERROR(AVERAGE(N24:Q24),"-")</f>
        <v/>
      </c>
      <c r="S24" s="17" t="n"/>
      <c r="T24" s="17" t="n"/>
      <c r="U24" s="17" t="n"/>
      <c r="V24" s="17" t="n"/>
      <c r="W24" s="18">
        <f>IFERROR(AVERAGE(S24:V24),"-")</f>
        <v/>
      </c>
      <c r="X24" s="17" t="n"/>
      <c r="Y24" s="17" t="n"/>
      <c r="Z24" s="17" t="n"/>
      <c r="AA24" s="17" t="n"/>
      <c r="AB24" s="18">
        <f>IFERROR(AVERAGE(X24:AA24),"-")</f>
        <v/>
      </c>
      <c r="AC24" s="17" t="n"/>
      <c r="AD24" s="17" t="n"/>
      <c r="AE24" s="17" t="n"/>
      <c r="AF24" s="17" t="n"/>
      <c r="AG24" s="18">
        <f>IFERROR(AVERAGE(AC24:AF24),"-")</f>
        <v/>
      </c>
      <c r="AH24" s="17" t="n"/>
      <c r="AI24" s="17" t="n"/>
      <c r="AJ24" s="17" t="n"/>
      <c r="AK24" s="17" t="n"/>
      <c r="AL24" s="18">
        <f>IFERROR(AVERAGE(AH24:AK24),"-")</f>
        <v/>
      </c>
      <c r="AM24" s="17" t="n"/>
      <c r="AN24" s="17" t="n"/>
      <c r="AO24" s="17" t="n"/>
      <c r="AP24" s="17" t="n"/>
      <c r="AQ24" s="18">
        <f>IFERROR(AVERAGE(AM24:AP24),"-")</f>
        <v/>
      </c>
      <c r="AR24" s="17" t="n"/>
      <c r="AS24" s="17" t="n"/>
      <c r="AT24" s="17" t="n"/>
      <c r="AU24" s="17" t="n"/>
      <c r="AV24" s="18">
        <f>IFERROR(AVERAGE(AR24:AU24),"-")</f>
        <v/>
      </c>
      <c r="AW24" s="17" t="n"/>
      <c r="AX24" s="17" t="n"/>
      <c r="AY24" s="17" t="n"/>
      <c r="AZ24" s="17" t="n"/>
      <c r="BA24" s="18">
        <f>IFERROR(AVERAGE(AW24:AZ24),"-")</f>
        <v/>
      </c>
      <c r="BB24" s="17" t="n"/>
    </row>
    <row r="25">
      <c r="B25" s="12">
        <f>$C$15</f>
        <v/>
      </c>
      <c r="C25" s="6" t="inlineStr">
        <is>
          <t>kboe/d</t>
        </is>
      </c>
      <c r="D25" s="17" t="n"/>
      <c r="E25" s="17" t="n"/>
      <c r="F25" s="17" t="n"/>
      <c r="G25" s="17" t="n"/>
      <c r="H25" s="18">
        <f>IFERROR(AVERAGE(D25:G25),"-")</f>
        <v/>
      </c>
      <c r="I25" s="17" t="n"/>
      <c r="J25" s="17" t="n"/>
      <c r="K25" s="17" t="n"/>
      <c r="L25" s="17" t="n"/>
      <c r="M25" s="18">
        <f>IFERROR(AVERAGE(I25:L25),"-")</f>
        <v/>
      </c>
      <c r="N25" s="17" t="n"/>
      <c r="O25" s="17" t="n"/>
      <c r="P25" s="17" t="n"/>
      <c r="Q25" s="17" t="n"/>
      <c r="R25" s="18">
        <f>IFERROR(AVERAGE(N25:Q25),"-")</f>
        <v/>
      </c>
      <c r="S25" s="17" t="n"/>
      <c r="T25" s="17" t="n"/>
      <c r="U25" s="17" t="n"/>
      <c r="V25" s="17" t="n"/>
      <c r="W25" s="18">
        <f>IFERROR(AVERAGE(S25:V25),"-")</f>
        <v/>
      </c>
      <c r="X25" s="17" t="n"/>
      <c r="Y25" s="17" t="n"/>
      <c r="Z25" s="17" t="n"/>
      <c r="AA25" s="17" t="n"/>
      <c r="AB25" s="18">
        <f>IFERROR(AVERAGE(X25:AA25),"-")</f>
        <v/>
      </c>
      <c r="AC25" s="17" t="n"/>
      <c r="AD25" s="17" t="n"/>
      <c r="AE25" s="17" t="n"/>
      <c r="AF25" s="17" t="n"/>
      <c r="AG25" s="18">
        <f>IFERROR(AVERAGE(AC25:AF25),"-")</f>
        <v/>
      </c>
      <c r="AH25" s="17" t="n"/>
      <c r="AI25" s="17" t="n"/>
      <c r="AJ25" s="17" t="n"/>
      <c r="AK25" s="17" t="n"/>
      <c r="AL25" s="18">
        <f>IFERROR(AVERAGE(AH25:AK25),"-")</f>
        <v/>
      </c>
      <c r="AM25" s="17" t="n"/>
      <c r="AN25" s="17" t="n"/>
      <c r="AO25" s="17" t="n"/>
      <c r="AP25" s="17" t="n"/>
      <c r="AQ25" s="18">
        <f>IFERROR(AVERAGE(AM25:AP25),"-")</f>
        <v/>
      </c>
      <c r="AR25" s="17" t="n"/>
      <c r="AS25" s="17" t="n"/>
      <c r="AT25" s="17" t="n"/>
      <c r="AU25" s="17" t="n"/>
      <c r="AV25" s="18">
        <f>IFERROR(AVERAGE(AR25:AU25),"-")</f>
        <v/>
      </c>
      <c r="AW25" s="17" t="n"/>
      <c r="AX25" s="17" t="n"/>
      <c r="AY25" s="17" t="n"/>
      <c r="AZ25" s="17" t="n"/>
      <c r="BA25" s="18">
        <f>IFERROR(AVERAGE(AW25:AZ25),"-")</f>
        <v/>
      </c>
      <c r="BB25" s="17" t="n"/>
    </row>
    <row r="26">
      <c r="B26" s="12" t="inlineStr">
        <is>
          <t>(=) Total production</t>
        </is>
      </c>
      <c r="C26" s="6" t="inlineStr">
        <is>
          <t>kboe/d</t>
        </is>
      </c>
      <c r="D26" s="21">
        <f>SUM(D18:D25)</f>
        <v/>
      </c>
      <c r="E26" s="21">
        <f>SUM(E18:E25)</f>
        <v/>
      </c>
      <c r="F26" s="21">
        <f>SUM(F18:F25)</f>
        <v/>
      </c>
      <c r="G26" s="21">
        <f>SUM(G18:G25)</f>
        <v/>
      </c>
      <c r="H26" s="18">
        <f>SUM(H18:H25)</f>
        <v/>
      </c>
      <c r="I26" s="21">
        <f>SUM(I18:I25)</f>
        <v/>
      </c>
      <c r="J26" s="21">
        <f>SUM(J18:J25)</f>
        <v/>
      </c>
      <c r="K26" s="21">
        <f>SUM(K18:K25)</f>
        <v/>
      </c>
      <c r="L26" s="21">
        <f>SUM(L18:L25)</f>
        <v/>
      </c>
      <c r="M26" s="18">
        <f>SUM(M18:M25)</f>
        <v/>
      </c>
      <c r="N26" s="21">
        <f>SUM(N18:N25)</f>
        <v/>
      </c>
      <c r="O26" s="21">
        <f>SUM(O18:O25)</f>
        <v/>
      </c>
      <c r="P26" s="21">
        <f>SUM(P18:P25)</f>
        <v/>
      </c>
      <c r="Q26" s="21">
        <f>SUM(Q18:Q25)</f>
        <v/>
      </c>
      <c r="R26" s="18">
        <f>SUM(R18:R25)</f>
        <v/>
      </c>
      <c r="S26" s="21">
        <f>SUM(S18:S25)</f>
        <v/>
      </c>
      <c r="T26" s="21">
        <f>SUM(T18:T25)</f>
        <v/>
      </c>
      <c r="U26" s="21">
        <f>SUM(U18:U25)</f>
        <v/>
      </c>
      <c r="V26" s="21">
        <f>SUM(V18:V25)</f>
        <v/>
      </c>
      <c r="W26" s="18">
        <f>SUM(W18:W25)</f>
        <v/>
      </c>
      <c r="X26" s="21">
        <f>SUM(X18:X25)</f>
        <v/>
      </c>
      <c r="Y26" s="21">
        <f>SUM(Y18:Y25)</f>
        <v/>
      </c>
      <c r="Z26" s="21">
        <f>SUM(Z18:Z25)</f>
        <v/>
      </c>
      <c r="AA26" s="21">
        <f>SUM(AA18:AA25)</f>
        <v/>
      </c>
      <c r="AB26" s="18">
        <f>SUM(AB18:AB25)</f>
        <v/>
      </c>
      <c r="AC26" s="21">
        <f>SUM(AC18:AC25)</f>
        <v/>
      </c>
      <c r="AD26" s="21">
        <f>SUM(AD18:AD25)</f>
        <v/>
      </c>
      <c r="AE26" s="21">
        <f>SUM(AE18:AE25)</f>
        <v/>
      </c>
      <c r="AF26" s="21">
        <f>SUM(AF18:AF25)</f>
        <v/>
      </c>
      <c r="AG26" s="18">
        <f>SUM(AG18:AG25)</f>
        <v/>
      </c>
      <c r="AH26" s="21">
        <f>SUM(AH18:AH25)</f>
        <v/>
      </c>
      <c r="AI26" s="21">
        <f>SUM(AI18:AI25)</f>
        <v/>
      </c>
      <c r="AJ26" s="21">
        <f>SUM(AJ18:AJ25)</f>
        <v/>
      </c>
      <c r="AK26" s="21">
        <f>SUM(AK18:AK25)</f>
        <v/>
      </c>
      <c r="AL26" s="18">
        <f>SUM(AL18:AL25)</f>
        <v/>
      </c>
      <c r="AM26" s="21">
        <f>SUM(AM18:AM25)</f>
        <v/>
      </c>
      <c r="AN26" s="21">
        <f>SUM(AN18:AN25)</f>
        <v/>
      </c>
      <c r="AO26" s="21">
        <f>SUM(AO18:AO25)</f>
        <v/>
      </c>
      <c r="AP26" s="21">
        <f>SUM(AP18:AP25)</f>
        <v/>
      </c>
      <c r="AQ26" s="18">
        <f>SUM(AQ18:AQ25)</f>
        <v/>
      </c>
      <c r="AR26" s="21">
        <f>SUM(AR18:AR25)</f>
        <v/>
      </c>
      <c r="AS26" s="21">
        <f>SUM(AS18:AS25)</f>
        <v/>
      </c>
      <c r="AT26" s="21">
        <f>SUM(AT18:AT25)</f>
        <v/>
      </c>
      <c r="AU26" s="21">
        <f>SUM(AU18:AU25)</f>
        <v/>
      </c>
      <c r="AV26" s="18">
        <f>SUM(AV18:AV25)</f>
        <v/>
      </c>
      <c r="AW26" s="21">
        <f>SUM(AW18:AW25)</f>
        <v/>
      </c>
      <c r="AX26" s="21">
        <f>SUM(AX18:AX25)</f>
        <v/>
      </c>
      <c r="AY26" s="21">
        <f>SUM(AY18:AY25)</f>
        <v/>
      </c>
      <c r="AZ26" s="21">
        <f>SUM(AZ18:AZ25)</f>
        <v/>
      </c>
      <c r="BA26" s="18">
        <f>SUM(BA18:BA25)</f>
        <v/>
      </c>
      <c r="BB26" s="21">
        <f>SUM(BB18:BB25)</f>
        <v/>
      </c>
    </row>
    <row r="27"/>
    <row r="28">
      <c r="B28" s="10" t="inlineStr">
        <is>
          <t>LIFTING COST BY ASSET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</row>
    <row r="29">
      <c r="B29" s="12">
        <f>$C$8</f>
        <v/>
      </c>
      <c r="C29" s="6" t="inlineStr">
        <is>
          <t>USD/boe</t>
        </is>
      </c>
      <c r="D29" s="17" t="n"/>
      <c r="E29" s="17" t="n"/>
      <c r="F29" s="17" t="n"/>
      <c r="G29" s="17" t="n"/>
      <c r="H29" s="18">
        <f>IFERROR(AVERAGE(D29:G29),"-")</f>
        <v/>
      </c>
      <c r="I29" s="17" t="n"/>
      <c r="J29" s="17" t="n"/>
      <c r="K29" s="17" t="n"/>
      <c r="L29" s="17" t="n"/>
      <c r="M29" s="18">
        <f>IFERROR(AVERAGE(I29:L29),"-")</f>
        <v/>
      </c>
      <c r="N29" s="17" t="n"/>
      <c r="O29" s="17" t="n"/>
      <c r="P29" s="17" t="n"/>
      <c r="Q29" s="17" t="n"/>
      <c r="R29" s="18">
        <f>IFERROR(AVERAGE(N29:Q29),"-")</f>
        <v/>
      </c>
      <c r="S29" s="17" t="n"/>
      <c r="T29" s="17" t="n"/>
      <c r="U29" s="17" t="n"/>
      <c r="V29" s="17" t="n"/>
      <c r="W29" s="18">
        <f>IFERROR(AVERAGE(S29:V29),"-")</f>
        <v/>
      </c>
      <c r="X29" s="17" t="n"/>
      <c r="Y29" s="17" t="n"/>
      <c r="Z29" s="17" t="n"/>
      <c r="AA29" s="17" t="n"/>
      <c r="AB29" s="18">
        <f>IFERROR(AVERAGE(X29:AA29),"-")</f>
        <v/>
      </c>
      <c r="AC29" s="17" t="n"/>
      <c r="AD29" s="17" t="n"/>
      <c r="AE29" s="17" t="n"/>
      <c r="AF29" s="17" t="n"/>
      <c r="AG29" s="18">
        <f>IFERROR(AVERAGE(AC29:AF29),"-")</f>
        <v/>
      </c>
      <c r="AH29" s="17" t="n"/>
      <c r="AI29" s="17" t="n"/>
      <c r="AJ29" s="17" t="n"/>
      <c r="AK29" s="17" t="n"/>
      <c r="AL29" s="18">
        <f>IFERROR(AVERAGE(AH29:AK29),"-")</f>
        <v/>
      </c>
      <c r="AM29" s="17" t="n">
        <v>7</v>
      </c>
      <c r="AN29" s="17" t="n">
        <v>7</v>
      </c>
      <c r="AO29" s="17" t="n">
        <v>7</v>
      </c>
      <c r="AP29" s="17" t="n">
        <v>7</v>
      </c>
      <c r="AQ29" s="18">
        <f>IFERROR(AVERAGE(AM29:AP29),"-")</f>
        <v/>
      </c>
      <c r="AR29" s="17" t="n">
        <v>7</v>
      </c>
      <c r="AS29" s="17" t="n">
        <v>7</v>
      </c>
      <c r="AT29" s="17" t="n">
        <v>7</v>
      </c>
      <c r="AU29" s="17" t="n">
        <v>7</v>
      </c>
      <c r="AV29" s="18">
        <f>IFERROR(AVERAGE(AR29:AU29),"-")</f>
        <v/>
      </c>
      <c r="AW29" s="17" t="n">
        <v>7</v>
      </c>
      <c r="AX29" s="17" t="n">
        <v>7</v>
      </c>
      <c r="AY29" s="17" t="n">
        <v>7</v>
      </c>
      <c r="AZ29" s="17" t="n">
        <v>7</v>
      </c>
      <c r="BA29" s="18">
        <f>IFERROR(AVERAGE(AW29:AZ29),"-")</f>
        <v/>
      </c>
      <c r="BB29" s="17" t="n">
        <v>7</v>
      </c>
    </row>
    <row r="30">
      <c r="B30" s="12">
        <f>$C$9</f>
        <v/>
      </c>
      <c r="C30" s="6" t="inlineStr">
        <is>
          <t>USD/boe</t>
        </is>
      </c>
      <c r="D30" s="17" t="n"/>
      <c r="E30" s="17" t="n"/>
      <c r="F30" s="17" t="n"/>
      <c r="G30" s="17" t="n"/>
      <c r="H30" s="18">
        <f>IFERROR(AVERAGE(D30:G30),"-")</f>
        <v/>
      </c>
      <c r="I30" s="17" t="n"/>
      <c r="J30" s="17" t="n"/>
      <c r="K30" s="17" t="n"/>
      <c r="L30" s="17" t="n"/>
      <c r="M30" s="18">
        <f>IFERROR(AVERAGE(I30:L30),"-")</f>
        <v/>
      </c>
      <c r="N30" s="17" t="n"/>
      <c r="O30" s="17" t="n"/>
      <c r="P30" s="17" t="n"/>
      <c r="Q30" s="17" t="n"/>
      <c r="R30" s="18">
        <f>IFERROR(AVERAGE(N30:Q30),"-")</f>
        <v/>
      </c>
      <c r="S30" s="17" t="n"/>
      <c r="T30" s="17" t="n"/>
      <c r="U30" s="17" t="n"/>
      <c r="V30" s="17" t="n"/>
      <c r="W30" s="18">
        <f>IFERROR(AVERAGE(S30:V30),"-")</f>
        <v/>
      </c>
      <c r="X30" s="17" t="n"/>
      <c r="Y30" s="17" t="n"/>
      <c r="Z30" s="17" t="n"/>
      <c r="AA30" s="17" t="n"/>
      <c r="AB30" s="18">
        <f>IFERROR(AVERAGE(X30:AA30),"-")</f>
        <v/>
      </c>
      <c r="AC30" s="17" t="n"/>
      <c r="AD30" s="17" t="n"/>
      <c r="AE30" s="17" t="n"/>
      <c r="AF30" s="17" t="n"/>
      <c r="AG30" s="18">
        <f>IFERROR(AVERAGE(AC30:AF30),"-")</f>
        <v/>
      </c>
      <c r="AH30" s="17" t="n"/>
      <c r="AI30" s="17" t="n"/>
      <c r="AJ30" s="17" t="n"/>
      <c r="AK30" s="17" t="n"/>
      <c r="AL30" s="18">
        <f>IFERROR(AVERAGE(AH30:AK30),"-")</f>
        <v/>
      </c>
      <c r="AM30" s="17" t="n">
        <v>9</v>
      </c>
      <c r="AN30" s="17" t="n">
        <v>9</v>
      </c>
      <c r="AO30" s="17" t="n">
        <v>9</v>
      </c>
      <c r="AP30" s="17" t="n">
        <v>9</v>
      </c>
      <c r="AQ30" s="18">
        <f>IFERROR(AVERAGE(AM30:AP30),"-")</f>
        <v/>
      </c>
      <c r="AR30" s="17" t="n">
        <v>9</v>
      </c>
      <c r="AS30" s="17" t="n">
        <v>9</v>
      </c>
      <c r="AT30" s="17" t="n">
        <v>9</v>
      </c>
      <c r="AU30" s="17" t="n">
        <v>9</v>
      </c>
      <c r="AV30" s="18">
        <f>IFERROR(AVERAGE(AR30:AU30),"-")</f>
        <v/>
      </c>
      <c r="AW30" s="17" t="n">
        <v>9</v>
      </c>
      <c r="AX30" s="17" t="n">
        <v>9</v>
      </c>
      <c r="AY30" s="17" t="n">
        <v>9</v>
      </c>
      <c r="AZ30" s="17" t="n">
        <v>9</v>
      </c>
      <c r="BA30" s="18">
        <f>IFERROR(AVERAGE(AW30:AZ30),"-")</f>
        <v/>
      </c>
      <c r="BB30" s="17" t="n">
        <v>9</v>
      </c>
    </row>
    <row r="31">
      <c r="B31" s="12">
        <f>$C$10</f>
        <v/>
      </c>
      <c r="C31" s="6" t="inlineStr">
        <is>
          <t>USD/boe</t>
        </is>
      </c>
      <c r="D31" s="17" t="n"/>
      <c r="E31" s="17" t="n"/>
      <c r="F31" s="17" t="n"/>
      <c r="G31" s="17" t="n"/>
      <c r="H31" s="18">
        <f>IFERROR(AVERAGE(D31:G31),"-")</f>
        <v/>
      </c>
      <c r="I31" s="17" t="n"/>
      <c r="J31" s="17" t="n"/>
      <c r="K31" s="17" t="n"/>
      <c r="L31" s="17" t="n"/>
      <c r="M31" s="18">
        <f>IFERROR(AVERAGE(I31:L31),"-")</f>
        <v/>
      </c>
      <c r="N31" s="17" t="n"/>
      <c r="O31" s="17" t="n"/>
      <c r="P31" s="17" t="n"/>
      <c r="Q31" s="17" t="n"/>
      <c r="R31" s="18">
        <f>IFERROR(AVERAGE(N31:Q31),"-")</f>
        <v/>
      </c>
      <c r="S31" s="17" t="n"/>
      <c r="T31" s="17" t="n"/>
      <c r="U31" s="17" t="n"/>
      <c r="V31" s="17" t="n"/>
      <c r="W31" s="18">
        <f>IFERROR(AVERAGE(S31:V31),"-")</f>
        <v/>
      </c>
      <c r="X31" s="17" t="n"/>
      <c r="Y31" s="17" t="n"/>
      <c r="Z31" s="17" t="n"/>
      <c r="AA31" s="17" t="n"/>
      <c r="AB31" s="18">
        <f>IFERROR(AVERAGE(X31:AA31),"-")</f>
        <v/>
      </c>
      <c r="AC31" s="17" t="n"/>
      <c r="AD31" s="17" t="n"/>
      <c r="AE31" s="17" t="n"/>
      <c r="AF31" s="17" t="n"/>
      <c r="AG31" s="18">
        <f>IFERROR(AVERAGE(AC31:AF31),"-")</f>
        <v/>
      </c>
      <c r="AH31" s="17" t="n"/>
      <c r="AI31" s="17" t="n"/>
      <c r="AJ31" s="17" t="n"/>
      <c r="AK31" s="17" t="n"/>
      <c r="AL31" s="18">
        <f>IFERROR(AVERAGE(AH31:AK31),"-")</f>
        <v/>
      </c>
      <c r="AM31" s="17" t="n">
        <v>12</v>
      </c>
      <c r="AN31" s="17" t="n">
        <v>12</v>
      </c>
      <c r="AO31" s="17" t="n">
        <v>12</v>
      </c>
      <c r="AP31" s="17" t="n">
        <v>12</v>
      </c>
      <c r="AQ31" s="18">
        <f>IFERROR(AVERAGE(AM31:AP31),"-")</f>
        <v/>
      </c>
      <c r="AR31" s="17" t="n">
        <v>12</v>
      </c>
      <c r="AS31" s="17" t="n">
        <v>12</v>
      </c>
      <c r="AT31" s="17" t="n">
        <v>12</v>
      </c>
      <c r="AU31" s="17" t="n">
        <v>12</v>
      </c>
      <c r="AV31" s="18">
        <f>IFERROR(AVERAGE(AR31:AU31),"-")</f>
        <v/>
      </c>
      <c r="AW31" s="17" t="n">
        <v>12</v>
      </c>
      <c r="AX31" s="17" t="n">
        <v>12</v>
      </c>
      <c r="AY31" s="17" t="n">
        <v>12</v>
      </c>
      <c r="AZ31" s="17" t="n">
        <v>12</v>
      </c>
      <c r="BA31" s="18">
        <f>IFERROR(AVERAGE(AW31:AZ31),"-")</f>
        <v/>
      </c>
      <c r="BB31" s="17" t="n">
        <v>12</v>
      </c>
    </row>
    <row r="32">
      <c r="B32" s="12">
        <f>$C$11</f>
        <v/>
      </c>
      <c r="C32" s="6" t="inlineStr">
        <is>
          <t>USD/boe</t>
        </is>
      </c>
      <c r="D32" s="17" t="n"/>
      <c r="E32" s="17" t="n"/>
      <c r="F32" s="17" t="n"/>
      <c r="G32" s="17" t="n"/>
      <c r="H32" s="18">
        <f>IFERROR(AVERAGE(D32:G32),"-")</f>
        <v/>
      </c>
      <c r="I32" s="17" t="n"/>
      <c r="J32" s="17" t="n"/>
      <c r="K32" s="17" t="n"/>
      <c r="L32" s="17" t="n"/>
      <c r="M32" s="18">
        <f>IFERROR(AVERAGE(I32:L32),"-")</f>
        <v/>
      </c>
      <c r="N32" s="17" t="n"/>
      <c r="O32" s="17" t="n"/>
      <c r="P32" s="17" t="n"/>
      <c r="Q32" s="17" t="n"/>
      <c r="R32" s="18">
        <f>IFERROR(AVERAGE(N32:Q32),"-")</f>
        <v/>
      </c>
      <c r="S32" s="17" t="n"/>
      <c r="T32" s="17" t="n"/>
      <c r="U32" s="17" t="n"/>
      <c r="V32" s="17" t="n"/>
      <c r="W32" s="18">
        <f>IFERROR(AVERAGE(S32:V32),"-")</f>
        <v/>
      </c>
      <c r="X32" s="17" t="n"/>
      <c r="Y32" s="17" t="n"/>
      <c r="Z32" s="17" t="n"/>
      <c r="AA32" s="17" t="n"/>
      <c r="AB32" s="18">
        <f>IFERROR(AVERAGE(X32:AA32),"-")</f>
        <v/>
      </c>
      <c r="AC32" s="17" t="n"/>
      <c r="AD32" s="17" t="n"/>
      <c r="AE32" s="17" t="n"/>
      <c r="AF32" s="17" t="n"/>
      <c r="AG32" s="18">
        <f>IFERROR(AVERAGE(AC32:AF32),"-")</f>
        <v/>
      </c>
      <c r="AH32" s="17" t="n"/>
      <c r="AI32" s="17" t="n"/>
      <c r="AJ32" s="17" t="n"/>
      <c r="AK32" s="17" t="n"/>
      <c r="AL32" s="18">
        <f>IFERROR(AVERAGE(AH32:AK32),"-")</f>
        <v/>
      </c>
      <c r="AM32" s="17" t="n"/>
      <c r="AN32" s="17" t="n"/>
      <c r="AO32" s="17" t="n"/>
      <c r="AP32" s="17" t="n"/>
      <c r="AQ32" s="18">
        <f>IFERROR(AVERAGE(AM32:AP32),"-")</f>
        <v/>
      </c>
      <c r="AR32" s="17" t="n"/>
      <c r="AS32" s="17" t="n"/>
      <c r="AT32" s="17" t="n"/>
      <c r="AU32" s="17" t="n"/>
      <c r="AV32" s="18">
        <f>IFERROR(AVERAGE(AR32:AU32),"-")</f>
        <v/>
      </c>
      <c r="AW32" s="17" t="n"/>
      <c r="AX32" s="17" t="n"/>
      <c r="AY32" s="17" t="n"/>
      <c r="AZ32" s="17" t="n"/>
      <c r="BA32" s="18">
        <f>IFERROR(AVERAGE(AW32:AZ32),"-")</f>
        <v/>
      </c>
      <c r="BB32" s="17" t="n"/>
    </row>
    <row r="33">
      <c r="B33" s="12">
        <f>$C$12</f>
        <v/>
      </c>
      <c r="C33" s="6" t="inlineStr">
        <is>
          <t>USD/boe</t>
        </is>
      </c>
      <c r="D33" s="17" t="n"/>
      <c r="E33" s="17" t="n"/>
      <c r="F33" s="17" t="n"/>
      <c r="G33" s="17" t="n"/>
      <c r="H33" s="18">
        <f>IFERROR(AVERAGE(D33:G33),"-")</f>
        <v/>
      </c>
      <c r="I33" s="17" t="n"/>
      <c r="J33" s="17" t="n"/>
      <c r="K33" s="17" t="n"/>
      <c r="L33" s="17" t="n"/>
      <c r="M33" s="18">
        <f>IFERROR(AVERAGE(I33:L33),"-")</f>
        <v/>
      </c>
      <c r="N33" s="17" t="n"/>
      <c r="O33" s="17" t="n"/>
      <c r="P33" s="17" t="n"/>
      <c r="Q33" s="17" t="n"/>
      <c r="R33" s="18">
        <f>IFERROR(AVERAGE(N33:Q33),"-")</f>
        <v/>
      </c>
      <c r="S33" s="17" t="n"/>
      <c r="T33" s="17" t="n"/>
      <c r="U33" s="17" t="n"/>
      <c r="V33" s="17" t="n"/>
      <c r="W33" s="18">
        <f>IFERROR(AVERAGE(S33:V33),"-")</f>
        <v/>
      </c>
      <c r="X33" s="17" t="n"/>
      <c r="Y33" s="17" t="n"/>
      <c r="Z33" s="17" t="n"/>
      <c r="AA33" s="17" t="n"/>
      <c r="AB33" s="18">
        <f>IFERROR(AVERAGE(X33:AA33),"-")</f>
        <v/>
      </c>
      <c r="AC33" s="17" t="n"/>
      <c r="AD33" s="17" t="n"/>
      <c r="AE33" s="17" t="n"/>
      <c r="AF33" s="17" t="n"/>
      <c r="AG33" s="18">
        <f>IFERROR(AVERAGE(AC33:AF33),"-")</f>
        <v/>
      </c>
      <c r="AH33" s="17" t="n"/>
      <c r="AI33" s="17" t="n"/>
      <c r="AJ33" s="17" t="n"/>
      <c r="AK33" s="17" t="n"/>
      <c r="AL33" s="18">
        <f>IFERROR(AVERAGE(AH33:AK33),"-")</f>
        <v/>
      </c>
      <c r="AM33" s="17" t="n"/>
      <c r="AN33" s="17" t="n"/>
      <c r="AO33" s="17" t="n"/>
      <c r="AP33" s="17" t="n"/>
      <c r="AQ33" s="18">
        <f>IFERROR(AVERAGE(AM33:AP33),"-")</f>
        <v/>
      </c>
      <c r="AR33" s="17" t="n"/>
      <c r="AS33" s="17" t="n"/>
      <c r="AT33" s="17" t="n"/>
      <c r="AU33" s="17" t="n"/>
      <c r="AV33" s="18">
        <f>IFERROR(AVERAGE(AR33:AU33),"-")</f>
        <v/>
      </c>
      <c r="AW33" s="17" t="n"/>
      <c r="AX33" s="17" t="n"/>
      <c r="AY33" s="17" t="n"/>
      <c r="AZ33" s="17" t="n"/>
      <c r="BA33" s="18">
        <f>IFERROR(AVERAGE(AW33:AZ33),"-")</f>
        <v/>
      </c>
      <c r="BB33" s="17" t="n"/>
    </row>
    <row r="34">
      <c r="B34" s="12">
        <f>$C$13</f>
        <v/>
      </c>
      <c r="C34" s="6" t="inlineStr">
        <is>
          <t>USD/boe</t>
        </is>
      </c>
      <c r="D34" s="17" t="n"/>
      <c r="E34" s="17" t="n"/>
      <c r="F34" s="17" t="n"/>
      <c r="G34" s="17" t="n"/>
      <c r="H34" s="18">
        <f>IFERROR(AVERAGE(D34:G34),"-")</f>
        <v/>
      </c>
      <c r="I34" s="17" t="n"/>
      <c r="J34" s="17" t="n"/>
      <c r="K34" s="17" t="n"/>
      <c r="L34" s="17" t="n"/>
      <c r="M34" s="18">
        <f>IFERROR(AVERAGE(I34:L34),"-")</f>
        <v/>
      </c>
      <c r="N34" s="17" t="n"/>
      <c r="O34" s="17" t="n"/>
      <c r="P34" s="17" t="n"/>
      <c r="Q34" s="17" t="n"/>
      <c r="R34" s="18">
        <f>IFERROR(AVERAGE(N34:Q34),"-")</f>
        <v/>
      </c>
      <c r="S34" s="17" t="n"/>
      <c r="T34" s="17" t="n"/>
      <c r="U34" s="17" t="n"/>
      <c r="V34" s="17" t="n"/>
      <c r="W34" s="18">
        <f>IFERROR(AVERAGE(S34:V34),"-")</f>
        <v/>
      </c>
      <c r="X34" s="17" t="n"/>
      <c r="Y34" s="17" t="n"/>
      <c r="Z34" s="17" t="n"/>
      <c r="AA34" s="17" t="n"/>
      <c r="AB34" s="18">
        <f>IFERROR(AVERAGE(X34:AA34),"-")</f>
        <v/>
      </c>
      <c r="AC34" s="17" t="n"/>
      <c r="AD34" s="17" t="n"/>
      <c r="AE34" s="17" t="n"/>
      <c r="AF34" s="17" t="n"/>
      <c r="AG34" s="18">
        <f>IFERROR(AVERAGE(AC34:AF34),"-")</f>
        <v/>
      </c>
      <c r="AH34" s="17" t="n"/>
      <c r="AI34" s="17" t="n"/>
      <c r="AJ34" s="17" t="n"/>
      <c r="AK34" s="17" t="n"/>
      <c r="AL34" s="18">
        <f>IFERROR(AVERAGE(AH34:AK34),"-")</f>
        <v/>
      </c>
      <c r="AM34" s="17" t="n"/>
      <c r="AN34" s="17" t="n"/>
      <c r="AO34" s="17" t="n"/>
      <c r="AP34" s="17" t="n"/>
      <c r="AQ34" s="18">
        <f>IFERROR(AVERAGE(AM34:AP34),"-")</f>
        <v/>
      </c>
      <c r="AR34" s="17" t="n"/>
      <c r="AS34" s="17" t="n"/>
      <c r="AT34" s="17" t="n"/>
      <c r="AU34" s="17" t="n"/>
      <c r="AV34" s="18">
        <f>IFERROR(AVERAGE(AR34:AU34),"-")</f>
        <v/>
      </c>
      <c r="AW34" s="17" t="n"/>
      <c r="AX34" s="17" t="n"/>
      <c r="AY34" s="17" t="n"/>
      <c r="AZ34" s="17" t="n"/>
      <c r="BA34" s="18">
        <f>IFERROR(AVERAGE(AW34:AZ34),"-")</f>
        <v/>
      </c>
      <c r="BB34" s="17" t="n"/>
    </row>
    <row r="35">
      <c r="B35" s="12">
        <f>$C$14</f>
        <v/>
      </c>
      <c r="C35" s="6" t="inlineStr">
        <is>
          <t>USD/boe</t>
        </is>
      </c>
      <c r="D35" s="17" t="n"/>
      <c r="E35" s="17" t="n"/>
      <c r="F35" s="17" t="n"/>
      <c r="G35" s="17" t="n"/>
      <c r="H35" s="18">
        <f>IFERROR(AVERAGE(D35:G35),"-")</f>
        <v/>
      </c>
      <c r="I35" s="17" t="n"/>
      <c r="J35" s="17" t="n"/>
      <c r="K35" s="17" t="n"/>
      <c r="L35" s="17" t="n"/>
      <c r="M35" s="18">
        <f>IFERROR(AVERAGE(I35:L35),"-")</f>
        <v/>
      </c>
      <c r="N35" s="17" t="n"/>
      <c r="O35" s="17" t="n"/>
      <c r="P35" s="17" t="n"/>
      <c r="Q35" s="17" t="n"/>
      <c r="R35" s="18">
        <f>IFERROR(AVERAGE(N35:Q35),"-")</f>
        <v/>
      </c>
      <c r="S35" s="17" t="n"/>
      <c r="T35" s="17" t="n"/>
      <c r="U35" s="17" t="n"/>
      <c r="V35" s="17" t="n"/>
      <c r="W35" s="18">
        <f>IFERROR(AVERAGE(S35:V35),"-")</f>
        <v/>
      </c>
      <c r="X35" s="17" t="n"/>
      <c r="Y35" s="17" t="n"/>
      <c r="Z35" s="17" t="n"/>
      <c r="AA35" s="17" t="n"/>
      <c r="AB35" s="18">
        <f>IFERROR(AVERAGE(X35:AA35),"-")</f>
        <v/>
      </c>
      <c r="AC35" s="17" t="n"/>
      <c r="AD35" s="17" t="n"/>
      <c r="AE35" s="17" t="n"/>
      <c r="AF35" s="17" t="n"/>
      <c r="AG35" s="18">
        <f>IFERROR(AVERAGE(AC35:AF35),"-")</f>
        <v/>
      </c>
      <c r="AH35" s="17" t="n"/>
      <c r="AI35" s="17" t="n"/>
      <c r="AJ35" s="17" t="n"/>
      <c r="AK35" s="17" t="n"/>
      <c r="AL35" s="18">
        <f>IFERROR(AVERAGE(AH35:AK35),"-")</f>
        <v/>
      </c>
      <c r="AM35" s="17" t="n"/>
      <c r="AN35" s="17" t="n"/>
      <c r="AO35" s="17" t="n"/>
      <c r="AP35" s="17" t="n"/>
      <c r="AQ35" s="18">
        <f>IFERROR(AVERAGE(AM35:AP35),"-")</f>
        <v/>
      </c>
      <c r="AR35" s="17" t="n"/>
      <c r="AS35" s="17" t="n"/>
      <c r="AT35" s="17" t="n"/>
      <c r="AU35" s="17" t="n"/>
      <c r="AV35" s="18">
        <f>IFERROR(AVERAGE(AR35:AU35),"-")</f>
        <v/>
      </c>
      <c r="AW35" s="17" t="n"/>
      <c r="AX35" s="17" t="n"/>
      <c r="AY35" s="17" t="n"/>
      <c r="AZ35" s="17" t="n"/>
      <c r="BA35" s="18">
        <f>IFERROR(AVERAGE(AW35:AZ35),"-")</f>
        <v/>
      </c>
      <c r="BB35" s="17" t="n"/>
    </row>
    <row r="36">
      <c r="B36" s="12">
        <f>$C$15</f>
        <v/>
      </c>
      <c r="C36" s="6" t="inlineStr">
        <is>
          <t>USD/boe</t>
        </is>
      </c>
      <c r="D36" s="17" t="n"/>
      <c r="E36" s="17" t="n"/>
      <c r="F36" s="17" t="n"/>
      <c r="G36" s="17" t="n"/>
      <c r="H36" s="18">
        <f>IFERROR(AVERAGE(D36:G36),"-")</f>
        <v/>
      </c>
      <c r="I36" s="17" t="n"/>
      <c r="J36" s="17" t="n"/>
      <c r="K36" s="17" t="n"/>
      <c r="L36" s="17" t="n"/>
      <c r="M36" s="18">
        <f>IFERROR(AVERAGE(I36:L36),"-")</f>
        <v/>
      </c>
      <c r="N36" s="17" t="n"/>
      <c r="O36" s="17" t="n"/>
      <c r="P36" s="17" t="n"/>
      <c r="Q36" s="17" t="n"/>
      <c r="R36" s="18">
        <f>IFERROR(AVERAGE(N36:Q36),"-")</f>
        <v/>
      </c>
      <c r="S36" s="17" t="n"/>
      <c r="T36" s="17" t="n"/>
      <c r="U36" s="17" t="n"/>
      <c r="V36" s="17" t="n"/>
      <c r="W36" s="18">
        <f>IFERROR(AVERAGE(S36:V36),"-")</f>
        <v/>
      </c>
      <c r="X36" s="17" t="n"/>
      <c r="Y36" s="17" t="n"/>
      <c r="Z36" s="17" t="n"/>
      <c r="AA36" s="17" t="n"/>
      <c r="AB36" s="18">
        <f>IFERROR(AVERAGE(X36:AA36),"-")</f>
        <v/>
      </c>
      <c r="AC36" s="17" t="n"/>
      <c r="AD36" s="17" t="n"/>
      <c r="AE36" s="17" t="n"/>
      <c r="AF36" s="17" t="n"/>
      <c r="AG36" s="18">
        <f>IFERROR(AVERAGE(AC36:AF36),"-")</f>
        <v/>
      </c>
      <c r="AH36" s="17" t="n"/>
      <c r="AI36" s="17" t="n"/>
      <c r="AJ36" s="17" t="n"/>
      <c r="AK36" s="17" t="n"/>
      <c r="AL36" s="18">
        <f>IFERROR(AVERAGE(AH36:AK36),"-")</f>
        <v/>
      </c>
      <c r="AM36" s="17" t="n"/>
      <c r="AN36" s="17" t="n"/>
      <c r="AO36" s="17" t="n"/>
      <c r="AP36" s="17" t="n"/>
      <c r="AQ36" s="18">
        <f>IFERROR(AVERAGE(AM36:AP36),"-")</f>
        <v/>
      </c>
      <c r="AR36" s="17" t="n"/>
      <c r="AS36" s="17" t="n"/>
      <c r="AT36" s="17" t="n"/>
      <c r="AU36" s="17" t="n"/>
      <c r="AV36" s="18">
        <f>IFERROR(AVERAGE(AR36:AU36),"-")</f>
        <v/>
      </c>
      <c r="AW36" s="17" t="n"/>
      <c r="AX36" s="17" t="n"/>
      <c r="AY36" s="17" t="n"/>
      <c r="AZ36" s="17" t="n"/>
      <c r="BA36" s="18">
        <f>IFERROR(AVERAGE(AW36:AZ36),"-")</f>
        <v/>
      </c>
      <c r="BB36" s="17" t="n"/>
    </row>
    <row r="37">
      <c r="B37" s="12" t="inlineStr">
        <is>
          <t>(=) Sum (engine will compute weighted average)</t>
        </is>
      </c>
      <c r="C37" s="6" t="inlineStr">
        <is>
          <t>USD/boe</t>
        </is>
      </c>
      <c r="D37" s="21">
        <f>SUM(D29:D36)</f>
        <v/>
      </c>
      <c r="E37" s="21">
        <f>SUM(E29:E36)</f>
        <v/>
      </c>
      <c r="F37" s="21">
        <f>SUM(F29:F36)</f>
        <v/>
      </c>
      <c r="G37" s="21">
        <f>SUM(G29:G36)</f>
        <v/>
      </c>
      <c r="H37" s="18">
        <f>SUM(H29:H36)</f>
        <v/>
      </c>
      <c r="I37" s="21">
        <f>SUM(I29:I36)</f>
        <v/>
      </c>
      <c r="J37" s="21">
        <f>SUM(J29:J36)</f>
        <v/>
      </c>
      <c r="K37" s="21">
        <f>SUM(K29:K36)</f>
        <v/>
      </c>
      <c r="L37" s="21">
        <f>SUM(L29:L36)</f>
        <v/>
      </c>
      <c r="M37" s="18">
        <f>SUM(M29:M36)</f>
        <v/>
      </c>
      <c r="N37" s="21">
        <f>SUM(N29:N36)</f>
        <v/>
      </c>
      <c r="O37" s="21">
        <f>SUM(O29:O36)</f>
        <v/>
      </c>
      <c r="P37" s="21">
        <f>SUM(P29:P36)</f>
        <v/>
      </c>
      <c r="Q37" s="21">
        <f>SUM(Q29:Q36)</f>
        <v/>
      </c>
      <c r="R37" s="18">
        <f>SUM(R29:R36)</f>
        <v/>
      </c>
      <c r="S37" s="21">
        <f>SUM(S29:S36)</f>
        <v/>
      </c>
      <c r="T37" s="21">
        <f>SUM(T29:T36)</f>
        <v/>
      </c>
      <c r="U37" s="21">
        <f>SUM(U29:U36)</f>
        <v/>
      </c>
      <c r="V37" s="21">
        <f>SUM(V29:V36)</f>
        <v/>
      </c>
      <c r="W37" s="18">
        <f>SUM(W29:W36)</f>
        <v/>
      </c>
      <c r="X37" s="21">
        <f>SUM(X29:X36)</f>
        <v/>
      </c>
      <c r="Y37" s="21">
        <f>SUM(Y29:Y36)</f>
        <v/>
      </c>
      <c r="Z37" s="21">
        <f>SUM(Z29:Z36)</f>
        <v/>
      </c>
      <c r="AA37" s="21">
        <f>SUM(AA29:AA36)</f>
        <v/>
      </c>
      <c r="AB37" s="18">
        <f>SUM(AB29:AB36)</f>
        <v/>
      </c>
      <c r="AC37" s="21">
        <f>SUM(AC29:AC36)</f>
        <v/>
      </c>
      <c r="AD37" s="21">
        <f>SUM(AD29:AD36)</f>
        <v/>
      </c>
      <c r="AE37" s="21">
        <f>SUM(AE29:AE36)</f>
        <v/>
      </c>
      <c r="AF37" s="21">
        <f>SUM(AF29:AF36)</f>
        <v/>
      </c>
      <c r="AG37" s="18">
        <f>SUM(AG29:AG36)</f>
        <v/>
      </c>
      <c r="AH37" s="21">
        <f>SUM(AH29:AH36)</f>
        <v/>
      </c>
      <c r="AI37" s="21">
        <f>SUM(AI29:AI36)</f>
        <v/>
      </c>
      <c r="AJ37" s="21">
        <f>SUM(AJ29:AJ36)</f>
        <v/>
      </c>
      <c r="AK37" s="21">
        <f>SUM(AK29:AK36)</f>
        <v/>
      </c>
      <c r="AL37" s="18">
        <f>SUM(AL29:AL36)</f>
        <v/>
      </c>
      <c r="AM37" s="21">
        <f>SUM(AM29:AM36)</f>
        <v/>
      </c>
      <c r="AN37" s="21">
        <f>SUM(AN29:AN36)</f>
        <v/>
      </c>
      <c r="AO37" s="21">
        <f>SUM(AO29:AO36)</f>
        <v/>
      </c>
      <c r="AP37" s="21">
        <f>SUM(AP29:AP36)</f>
        <v/>
      </c>
      <c r="AQ37" s="18">
        <f>SUM(AQ29:AQ36)</f>
        <v/>
      </c>
      <c r="AR37" s="21">
        <f>SUM(AR29:AR36)</f>
        <v/>
      </c>
      <c r="AS37" s="21">
        <f>SUM(AS29:AS36)</f>
        <v/>
      </c>
      <c r="AT37" s="21">
        <f>SUM(AT29:AT36)</f>
        <v/>
      </c>
      <c r="AU37" s="21">
        <f>SUM(AU29:AU36)</f>
        <v/>
      </c>
      <c r="AV37" s="18">
        <f>SUM(AV29:AV36)</f>
        <v/>
      </c>
      <c r="AW37" s="21">
        <f>SUM(AW29:AW36)</f>
        <v/>
      </c>
      <c r="AX37" s="21">
        <f>SUM(AX29:AX36)</f>
        <v/>
      </c>
      <c r="AY37" s="21">
        <f>SUM(AY29:AY36)</f>
        <v/>
      </c>
      <c r="AZ37" s="21">
        <f>SUM(AZ29:AZ36)</f>
        <v/>
      </c>
      <c r="BA37" s="18">
        <f>SUM(BA29:BA36)</f>
        <v/>
      </c>
      <c r="BB37" s="21">
        <f>SUM(BB29:BB36)</f>
        <v/>
      </c>
    </row>
    <row r="38"/>
    <row r="39">
      <c r="B39" s="10" t="inlineStr">
        <is>
          <t>CAPEX BY ASSET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</row>
    <row r="40">
      <c r="B40" s="12">
        <f>$C$8</f>
        <v/>
      </c>
      <c r="C40" s="6" t="inlineStr">
        <is>
          <t>USD mn</t>
        </is>
      </c>
      <c r="D40" s="13" t="n"/>
      <c r="E40" s="13" t="n"/>
      <c r="F40" s="13" t="n"/>
      <c r="G40" s="13" t="n"/>
      <c r="H40" s="14">
        <f>SUM(D40:G40)</f>
        <v/>
      </c>
      <c r="I40" s="13" t="n"/>
      <c r="J40" s="13" t="n"/>
      <c r="K40" s="13" t="n"/>
      <c r="L40" s="13" t="n"/>
      <c r="M40" s="14">
        <f>SUM(I40:L40)</f>
        <v/>
      </c>
      <c r="N40" s="13" t="n"/>
      <c r="O40" s="13" t="n"/>
      <c r="P40" s="13" t="n"/>
      <c r="Q40" s="13" t="n"/>
      <c r="R40" s="14">
        <f>SUM(N40:Q40)</f>
        <v/>
      </c>
      <c r="S40" s="13" t="n"/>
      <c r="T40" s="13" t="n"/>
      <c r="U40" s="13" t="n"/>
      <c r="V40" s="13" t="n"/>
      <c r="W40" s="14">
        <f>SUM(S40:V40)</f>
        <v/>
      </c>
      <c r="X40" s="13" t="n"/>
      <c r="Y40" s="13" t="n"/>
      <c r="Z40" s="13" t="n"/>
      <c r="AA40" s="13" t="n"/>
      <c r="AB40" s="14">
        <f>SUM(X40:AA40)</f>
        <v/>
      </c>
      <c r="AC40" s="13" t="n"/>
      <c r="AD40" s="13" t="n"/>
      <c r="AE40" s="13" t="n"/>
      <c r="AF40" s="13" t="n"/>
      <c r="AG40" s="14">
        <f>SUM(AC40:AF40)</f>
        <v/>
      </c>
      <c r="AH40" s="13" t="n"/>
      <c r="AI40" s="13" t="n"/>
      <c r="AJ40" s="13" t="n"/>
      <c r="AK40" s="13" t="n"/>
      <c r="AL40" s="14">
        <f>SUM(AH40:AK40)</f>
        <v/>
      </c>
      <c r="AM40" s="13" t="n">
        <v>30</v>
      </c>
      <c r="AN40" s="13" t="n">
        <v>30</v>
      </c>
      <c r="AO40" s="13" t="n">
        <v>30</v>
      </c>
      <c r="AP40" s="13" t="n">
        <v>30</v>
      </c>
      <c r="AQ40" s="14">
        <f>SUM(AM40:AP40)</f>
        <v/>
      </c>
      <c r="AR40" s="13" t="n">
        <v>30</v>
      </c>
      <c r="AS40" s="13" t="n">
        <v>30</v>
      </c>
      <c r="AT40" s="13" t="n">
        <v>30</v>
      </c>
      <c r="AU40" s="13" t="n">
        <v>30</v>
      </c>
      <c r="AV40" s="14">
        <f>SUM(AR40:AU40)</f>
        <v/>
      </c>
      <c r="AW40" s="13" t="n">
        <v>30</v>
      </c>
      <c r="AX40" s="13" t="n">
        <v>30</v>
      </c>
      <c r="AY40" s="13" t="n">
        <v>30</v>
      </c>
      <c r="AZ40" s="13" t="n">
        <v>30</v>
      </c>
      <c r="BA40" s="14">
        <f>SUM(AW40:AZ40)</f>
        <v/>
      </c>
      <c r="BB40" s="13" t="n">
        <v>30</v>
      </c>
    </row>
    <row r="41">
      <c r="B41" s="12">
        <f>$C$9</f>
        <v/>
      </c>
      <c r="C41" s="6" t="inlineStr">
        <is>
          <t>USD mn</t>
        </is>
      </c>
      <c r="D41" s="13" t="n"/>
      <c r="E41" s="13" t="n"/>
      <c r="F41" s="13" t="n"/>
      <c r="G41" s="13" t="n"/>
      <c r="H41" s="14">
        <f>SUM(D41:G41)</f>
        <v/>
      </c>
      <c r="I41" s="13" t="n"/>
      <c r="J41" s="13" t="n"/>
      <c r="K41" s="13" t="n"/>
      <c r="L41" s="13" t="n"/>
      <c r="M41" s="14">
        <f>SUM(I41:L41)</f>
        <v/>
      </c>
      <c r="N41" s="13" t="n"/>
      <c r="O41" s="13" t="n"/>
      <c r="P41" s="13" t="n"/>
      <c r="Q41" s="13" t="n"/>
      <c r="R41" s="14">
        <f>SUM(N41:Q41)</f>
        <v/>
      </c>
      <c r="S41" s="13" t="n"/>
      <c r="T41" s="13" t="n"/>
      <c r="U41" s="13" t="n"/>
      <c r="V41" s="13" t="n"/>
      <c r="W41" s="14">
        <f>SUM(S41:V41)</f>
        <v/>
      </c>
      <c r="X41" s="13" t="n"/>
      <c r="Y41" s="13" t="n"/>
      <c r="Z41" s="13" t="n"/>
      <c r="AA41" s="13" t="n"/>
      <c r="AB41" s="14">
        <f>SUM(X41:AA41)</f>
        <v/>
      </c>
      <c r="AC41" s="13" t="n"/>
      <c r="AD41" s="13" t="n"/>
      <c r="AE41" s="13" t="n"/>
      <c r="AF41" s="13" t="n"/>
      <c r="AG41" s="14">
        <f>SUM(AC41:AF41)</f>
        <v/>
      </c>
      <c r="AH41" s="13" t="n"/>
      <c r="AI41" s="13" t="n"/>
      <c r="AJ41" s="13" t="n"/>
      <c r="AK41" s="13" t="n"/>
      <c r="AL41" s="14">
        <f>SUM(AH41:AK41)</f>
        <v/>
      </c>
      <c r="AM41" s="13" t="n">
        <v>20</v>
      </c>
      <c r="AN41" s="13" t="n">
        <v>20</v>
      </c>
      <c r="AO41" s="13" t="n">
        <v>20</v>
      </c>
      <c r="AP41" s="13" t="n">
        <v>20</v>
      </c>
      <c r="AQ41" s="14">
        <f>SUM(AM41:AP41)</f>
        <v/>
      </c>
      <c r="AR41" s="13" t="n">
        <v>20</v>
      </c>
      <c r="AS41" s="13" t="n">
        <v>20</v>
      </c>
      <c r="AT41" s="13" t="n">
        <v>20</v>
      </c>
      <c r="AU41" s="13" t="n">
        <v>20</v>
      </c>
      <c r="AV41" s="14">
        <f>SUM(AR41:AU41)</f>
        <v/>
      </c>
      <c r="AW41" s="13" t="n">
        <v>20</v>
      </c>
      <c r="AX41" s="13" t="n">
        <v>20</v>
      </c>
      <c r="AY41" s="13" t="n">
        <v>20</v>
      </c>
      <c r="AZ41" s="13" t="n">
        <v>20</v>
      </c>
      <c r="BA41" s="14">
        <f>SUM(AW41:AZ41)</f>
        <v/>
      </c>
      <c r="BB41" s="13" t="n">
        <v>20</v>
      </c>
    </row>
    <row r="42">
      <c r="B42" s="12">
        <f>$C$10</f>
        <v/>
      </c>
      <c r="C42" s="6" t="inlineStr">
        <is>
          <t>USD mn</t>
        </is>
      </c>
      <c r="D42" s="13" t="n"/>
      <c r="E42" s="13" t="n"/>
      <c r="F42" s="13" t="n"/>
      <c r="G42" s="13" t="n"/>
      <c r="H42" s="14">
        <f>SUM(D42:G42)</f>
        <v/>
      </c>
      <c r="I42" s="13" t="n"/>
      <c r="J42" s="13" t="n"/>
      <c r="K42" s="13" t="n"/>
      <c r="L42" s="13" t="n"/>
      <c r="M42" s="14">
        <f>SUM(I42:L42)</f>
        <v/>
      </c>
      <c r="N42" s="13" t="n"/>
      <c r="O42" s="13" t="n"/>
      <c r="P42" s="13" t="n"/>
      <c r="Q42" s="13" t="n"/>
      <c r="R42" s="14">
        <f>SUM(N42:Q42)</f>
        <v/>
      </c>
      <c r="S42" s="13" t="n"/>
      <c r="T42" s="13" t="n"/>
      <c r="U42" s="13" t="n"/>
      <c r="V42" s="13" t="n"/>
      <c r="W42" s="14">
        <f>SUM(S42:V42)</f>
        <v/>
      </c>
      <c r="X42" s="13" t="n"/>
      <c r="Y42" s="13" t="n"/>
      <c r="Z42" s="13" t="n"/>
      <c r="AA42" s="13" t="n"/>
      <c r="AB42" s="14">
        <f>SUM(X42:AA42)</f>
        <v/>
      </c>
      <c r="AC42" s="13" t="n"/>
      <c r="AD42" s="13" t="n"/>
      <c r="AE42" s="13" t="n"/>
      <c r="AF42" s="13" t="n"/>
      <c r="AG42" s="14">
        <f>SUM(AC42:AF42)</f>
        <v/>
      </c>
      <c r="AH42" s="13" t="n"/>
      <c r="AI42" s="13" t="n"/>
      <c r="AJ42" s="13" t="n"/>
      <c r="AK42" s="13" t="n"/>
      <c r="AL42" s="14">
        <f>SUM(AH42:AK42)</f>
        <v/>
      </c>
      <c r="AM42" s="13" t="n">
        <v>10</v>
      </c>
      <c r="AN42" s="13" t="n">
        <v>10</v>
      </c>
      <c r="AO42" s="13" t="n">
        <v>10</v>
      </c>
      <c r="AP42" s="13" t="n">
        <v>10</v>
      </c>
      <c r="AQ42" s="14">
        <f>SUM(AM42:AP42)</f>
        <v/>
      </c>
      <c r="AR42" s="13" t="n">
        <v>10</v>
      </c>
      <c r="AS42" s="13" t="n">
        <v>10</v>
      </c>
      <c r="AT42" s="13" t="n">
        <v>10</v>
      </c>
      <c r="AU42" s="13" t="n">
        <v>10</v>
      </c>
      <c r="AV42" s="14">
        <f>SUM(AR42:AU42)</f>
        <v/>
      </c>
      <c r="AW42" s="13" t="n">
        <v>10</v>
      </c>
      <c r="AX42" s="13" t="n">
        <v>10</v>
      </c>
      <c r="AY42" s="13" t="n">
        <v>10</v>
      </c>
      <c r="AZ42" s="13" t="n">
        <v>10</v>
      </c>
      <c r="BA42" s="14">
        <f>SUM(AW42:AZ42)</f>
        <v/>
      </c>
      <c r="BB42" s="13" t="n">
        <v>10</v>
      </c>
    </row>
    <row r="43">
      <c r="B43" s="12">
        <f>$C$11</f>
        <v/>
      </c>
      <c r="C43" s="6" t="inlineStr">
        <is>
          <t>USD mn</t>
        </is>
      </c>
      <c r="D43" s="13" t="n"/>
      <c r="E43" s="13" t="n"/>
      <c r="F43" s="13" t="n"/>
      <c r="G43" s="13" t="n"/>
      <c r="H43" s="14">
        <f>SUM(D43:G43)</f>
        <v/>
      </c>
      <c r="I43" s="13" t="n"/>
      <c r="J43" s="13" t="n"/>
      <c r="K43" s="13" t="n"/>
      <c r="L43" s="13" t="n"/>
      <c r="M43" s="14">
        <f>SUM(I43:L43)</f>
        <v/>
      </c>
      <c r="N43" s="13" t="n"/>
      <c r="O43" s="13" t="n"/>
      <c r="P43" s="13" t="n"/>
      <c r="Q43" s="13" t="n"/>
      <c r="R43" s="14">
        <f>SUM(N43:Q43)</f>
        <v/>
      </c>
      <c r="S43" s="13" t="n"/>
      <c r="T43" s="13" t="n"/>
      <c r="U43" s="13" t="n"/>
      <c r="V43" s="13" t="n"/>
      <c r="W43" s="14">
        <f>SUM(S43:V43)</f>
        <v/>
      </c>
      <c r="X43" s="13" t="n"/>
      <c r="Y43" s="13" t="n"/>
      <c r="Z43" s="13" t="n"/>
      <c r="AA43" s="13" t="n"/>
      <c r="AB43" s="14">
        <f>SUM(X43:AA43)</f>
        <v/>
      </c>
      <c r="AC43" s="13" t="n"/>
      <c r="AD43" s="13" t="n"/>
      <c r="AE43" s="13" t="n"/>
      <c r="AF43" s="13" t="n"/>
      <c r="AG43" s="14">
        <f>SUM(AC43:AF43)</f>
        <v/>
      </c>
      <c r="AH43" s="13" t="n"/>
      <c r="AI43" s="13" t="n"/>
      <c r="AJ43" s="13" t="n"/>
      <c r="AK43" s="13" t="n"/>
      <c r="AL43" s="14">
        <f>SUM(AH43:AK43)</f>
        <v/>
      </c>
      <c r="AM43" s="13" t="n"/>
      <c r="AN43" s="13" t="n"/>
      <c r="AO43" s="13" t="n"/>
      <c r="AP43" s="13" t="n"/>
      <c r="AQ43" s="14">
        <f>SUM(AM43:AP43)</f>
        <v/>
      </c>
      <c r="AR43" s="13" t="n"/>
      <c r="AS43" s="13" t="n"/>
      <c r="AT43" s="13" t="n"/>
      <c r="AU43" s="13" t="n"/>
      <c r="AV43" s="14">
        <f>SUM(AR43:AU43)</f>
        <v/>
      </c>
      <c r="AW43" s="13" t="n"/>
      <c r="AX43" s="13" t="n"/>
      <c r="AY43" s="13" t="n"/>
      <c r="AZ43" s="13" t="n"/>
      <c r="BA43" s="14">
        <f>SUM(AW43:AZ43)</f>
        <v/>
      </c>
      <c r="BB43" s="13" t="n"/>
    </row>
    <row r="44">
      <c r="B44" s="12">
        <f>$C$12</f>
        <v/>
      </c>
      <c r="C44" s="6" t="inlineStr">
        <is>
          <t>USD mn</t>
        </is>
      </c>
      <c r="D44" s="13" t="n"/>
      <c r="E44" s="13" t="n"/>
      <c r="F44" s="13" t="n"/>
      <c r="G44" s="13" t="n"/>
      <c r="H44" s="14">
        <f>SUM(D44:G44)</f>
        <v/>
      </c>
      <c r="I44" s="13" t="n"/>
      <c r="J44" s="13" t="n"/>
      <c r="K44" s="13" t="n"/>
      <c r="L44" s="13" t="n"/>
      <c r="M44" s="14">
        <f>SUM(I44:L44)</f>
        <v/>
      </c>
      <c r="N44" s="13" t="n"/>
      <c r="O44" s="13" t="n"/>
      <c r="P44" s="13" t="n"/>
      <c r="Q44" s="13" t="n"/>
      <c r="R44" s="14">
        <f>SUM(N44:Q44)</f>
        <v/>
      </c>
      <c r="S44" s="13" t="n"/>
      <c r="T44" s="13" t="n"/>
      <c r="U44" s="13" t="n"/>
      <c r="V44" s="13" t="n"/>
      <c r="W44" s="14">
        <f>SUM(S44:V44)</f>
        <v/>
      </c>
      <c r="X44" s="13" t="n"/>
      <c r="Y44" s="13" t="n"/>
      <c r="Z44" s="13" t="n"/>
      <c r="AA44" s="13" t="n"/>
      <c r="AB44" s="14">
        <f>SUM(X44:AA44)</f>
        <v/>
      </c>
      <c r="AC44" s="13" t="n"/>
      <c r="AD44" s="13" t="n"/>
      <c r="AE44" s="13" t="n"/>
      <c r="AF44" s="13" t="n"/>
      <c r="AG44" s="14">
        <f>SUM(AC44:AF44)</f>
        <v/>
      </c>
      <c r="AH44" s="13" t="n"/>
      <c r="AI44" s="13" t="n"/>
      <c r="AJ44" s="13" t="n"/>
      <c r="AK44" s="13" t="n"/>
      <c r="AL44" s="14">
        <f>SUM(AH44:AK44)</f>
        <v/>
      </c>
      <c r="AM44" s="13" t="n"/>
      <c r="AN44" s="13" t="n"/>
      <c r="AO44" s="13" t="n"/>
      <c r="AP44" s="13" t="n"/>
      <c r="AQ44" s="14">
        <f>SUM(AM44:AP44)</f>
        <v/>
      </c>
      <c r="AR44" s="13" t="n"/>
      <c r="AS44" s="13" t="n"/>
      <c r="AT44" s="13" t="n"/>
      <c r="AU44" s="13" t="n"/>
      <c r="AV44" s="14">
        <f>SUM(AR44:AU44)</f>
        <v/>
      </c>
      <c r="AW44" s="13" t="n"/>
      <c r="AX44" s="13" t="n"/>
      <c r="AY44" s="13" t="n"/>
      <c r="AZ44" s="13" t="n"/>
      <c r="BA44" s="14">
        <f>SUM(AW44:AZ44)</f>
        <v/>
      </c>
      <c r="BB44" s="13" t="n"/>
    </row>
    <row r="45">
      <c r="B45" s="12">
        <f>$C$13</f>
        <v/>
      </c>
      <c r="C45" s="6" t="inlineStr">
        <is>
          <t>USD mn</t>
        </is>
      </c>
      <c r="D45" s="13" t="n"/>
      <c r="E45" s="13" t="n"/>
      <c r="F45" s="13" t="n"/>
      <c r="G45" s="13" t="n"/>
      <c r="H45" s="14">
        <f>SUM(D45:G45)</f>
        <v/>
      </c>
      <c r="I45" s="13" t="n"/>
      <c r="J45" s="13" t="n"/>
      <c r="K45" s="13" t="n"/>
      <c r="L45" s="13" t="n"/>
      <c r="M45" s="14">
        <f>SUM(I45:L45)</f>
        <v/>
      </c>
      <c r="N45" s="13" t="n"/>
      <c r="O45" s="13" t="n"/>
      <c r="P45" s="13" t="n"/>
      <c r="Q45" s="13" t="n"/>
      <c r="R45" s="14">
        <f>SUM(N45:Q45)</f>
        <v/>
      </c>
      <c r="S45" s="13" t="n"/>
      <c r="T45" s="13" t="n"/>
      <c r="U45" s="13" t="n"/>
      <c r="V45" s="13" t="n"/>
      <c r="W45" s="14">
        <f>SUM(S45:V45)</f>
        <v/>
      </c>
      <c r="X45" s="13" t="n"/>
      <c r="Y45" s="13" t="n"/>
      <c r="Z45" s="13" t="n"/>
      <c r="AA45" s="13" t="n"/>
      <c r="AB45" s="14">
        <f>SUM(X45:AA45)</f>
        <v/>
      </c>
      <c r="AC45" s="13" t="n"/>
      <c r="AD45" s="13" t="n"/>
      <c r="AE45" s="13" t="n"/>
      <c r="AF45" s="13" t="n"/>
      <c r="AG45" s="14">
        <f>SUM(AC45:AF45)</f>
        <v/>
      </c>
      <c r="AH45" s="13" t="n"/>
      <c r="AI45" s="13" t="n"/>
      <c r="AJ45" s="13" t="n"/>
      <c r="AK45" s="13" t="n"/>
      <c r="AL45" s="14">
        <f>SUM(AH45:AK45)</f>
        <v/>
      </c>
      <c r="AM45" s="13" t="n"/>
      <c r="AN45" s="13" t="n"/>
      <c r="AO45" s="13" t="n"/>
      <c r="AP45" s="13" t="n"/>
      <c r="AQ45" s="14">
        <f>SUM(AM45:AP45)</f>
        <v/>
      </c>
      <c r="AR45" s="13" t="n"/>
      <c r="AS45" s="13" t="n"/>
      <c r="AT45" s="13" t="n"/>
      <c r="AU45" s="13" t="n"/>
      <c r="AV45" s="14">
        <f>SUM(AR45:AU45)</f>
        <v/>
      </c>
      <c r="AW45" s="13" t="n"/>
      <c r="AX45" s="13" t="n"/>
      <c r="AY45" s="13" t="n"/>
      <c r="AZ45" s="13" t="n"/>
      <c r="BA45" s="14">
        <f>SUM(AW45:AZ45)</f>
        <v/>
      </c>
      <c r="BB45" s="13" t="n"/>
    </row>
    <row r="46">
      <c r="B46" s="12">
        <f>$C$14</f>
        <v/>
      </c>
      <c r="C46" s="6" t="inlineStr">
        <is>
          <t>USD mn</t>
        </is>
      </c>
      <c r="D46" s="13" t="n"/>
      <c r="E46" s="13" t="n"/>
      <c r="F46" s="13" t="n"/>
      <c r="G46" s="13" t="n"/>
      <c r="H46" s="14">
        <f>SUM(D46:G46)</f>
        <v/>
      </c>
      <c r="I46" s="13" t="n"/>
      <c r="J46" s="13" t="n"/>
      <c r="K46" s="13" t="n"/>
      <c r="L46" s="13" t="n"/>
      <c r="M46" s="14">
        <f>SUM(I46:L46)</f>
        <v/>
      </c>
      <c r="N46" s="13" t="n"/>
      <c r="O46" s="13" t="n"/>
      <c r="P46" s="13" t="n"/>
      <c r="Q46" s="13" t="n"/>
      <c r="R46" s="14">
        <f>SUM(N46:Q46)</f>
        <v/>
      </c>
      <c r="S46" s="13" t="n"/>
      <c r="T46" s="13" t="n"/>
      <c r="U46" s="13" t="n"/>
      <c r="V46" s="13" t="n"/>
      <c r="W46" s="14">
        <f>SUM(S46:V46)</f>
        <v/>
      </c>
      <c r="X46" s="13" t="n"/>
      <c r="Y46" s="13" t="n"/>
      <c r="Z46" s="13" t="n"/>
      <c r="AA46" s="13" t="n"/>
      <c r="AB46" s="14">
        <f>SUM(X46:AA46)</f>
        <v/>
      </c>
      <c r="AC46" s="13" t="n"/>
      <c r="AD46" s="13" t="n"/>
      <c r="AE46" s="13" t="n"/>
      <c r="AF46" s="13" t="n"/>
      <c r="AG46" s="14">
        <f>SUM(AC46:AF46)</f>
        <v/>
      </c>
      <c r="AH46" s="13" t="n"/>
      <c r="AI46" s="13" t="n"/>
      <c r="AJ46" s="13" t="n"/>
      <c r="AK46" s="13" t="n"/>
      <c r="AL46" s="14">
        <f>SUM(AH46:AK46)</f>
        <v/>
      </c>
      <c r="AM46" s="13" t="n"/>
      <c r="AN46" s="13" t="n"/>
      <c r="AO46" s="13" t="n"/>
      <c r="AP46" s="13" t="n"/>
      <c r="AQ46" s="14">
        <f>SUM(AM46:AP46)</f>
        <v/>
      </c>
      <c r="AR46" s="13" t="n"/>
      <c r="AS46" s="13" t="n"/>
      <c r="AT46" s="13" t="n"/>
      <c r="AU46" s="13" t="n"/>
      <c r="AV46" s="14">
        <f>SUM(AR46:AU46)</f>
        <v/>
      </c>
      <c r="AW46" s="13" t="n"/>
      <c r="AX46" s="13" t="n"/>
      <c r="AY46" s="13" t="n"/>
      <c r="AZ46" s="13" t="n"/>
      <c r="BA46" s="14">
        <f>SUM(AW46:AZ46)</f>
        <v/>
      </c>
      <c r="BB46" s="13" t="n"/>
    </row>
    <row r="47">
      <c r="B47" s="12">
        <f>$C$15</f>
        <v/>
      </c>
      <c r="C47" s="6" t="inlineStr">
        <is>
          <t>USD mn</t>
        </is>
      </c>
      <c r="D47" s="13" t="n"/>
      <c r="E47" s="13" t="n"/>
      <c r="F47" s="13" t="n"/>
      <c r="G47" s="13" t="n"/>
      <c r="H47" s="14">
        <f>SUM(D47:G47)</f>
        <v/>
      </c>
      <c r="I47" s="13" t="n"/>
      <c r="J47" s="13" t="n"/>
      <c r="K47" s="13" t="n"/>
      <c r="L47" s="13" t="n"/>
      <c r="M47" s="14">
        <f>SUM(I47:L47)</f>
        <v/>
      </c>
      <c r="N47" s="13" t="n"/>
      <c r="O47" s="13" t="n"/>
      <c r="P47" s="13" t="n"/>
      <c r="Q47" s="13" t="n"/>
      <c r="R47" s="14">
        <f>SUM(N47:Q47)</f>
        <v/>
      </c>
      <c r="S47" s="13" t="n"/>
      <c r="T47" s="13" t="n"/>
      <c r="U47" s="13" t="n"/>
      <c r="V47" s="13" t="n"/>
      <c r="W47" s="14">
        <f>SUM(S47:V47)</f>
        <v/>
      </c>
      <c r="X47" s="13" t="n"/>
      <c r="Y47" s="13" t="n"/>
      <c r="Z47" s="13" t="n"/>
      <c r="AA47" s="13" t="n"/>
      <c r="AB47" s="14">
        <f>SUM(X47:AA47)</f>
        <v/>
      </c>
      <c r="AC47" s="13" t="n"/>
      <c r="AD47" s="13" t="n"/>
      <c r="AE47" s="13" t="n"/>
      <c r="AF47" s="13" t="n"/>
      <c r="AG47" s="14">
        <f>SUM(AC47:AF47)</f>
        <v/>
      </c>
      <c r="AH47" s="13" t="n"/>
      <c r="AI47" s="13" t="n"/>
      <c r="AJ47" s="13" t="n"/>
      <c r="AK47" s="13" t="n"/>
      <c r="AL47" s="14">
        <f>SUM(AH47:AK47)</f>
        <v/>
      </c>
      <c r="AM47" s="13" t="n"/>
      <c r="AN47" s="13" t="n"/>
      <c r="AO47" s="13" t="n"/>
      <c r="AP47" s="13" t="n"/>
      <c r="AQ47" s="14">
        <f>SUM(AM47:AP47)</f>
        <v/>
      </c>
      <c r="AR47" s="13" t="n"/>
      <c r="AS47" s="13" t="n"/>
      <c r="AT47" s="13" t="n"/>
      <c r="AU47" s="13" t="n"/>
      <c r="AV47" s="14">
        <f>SUM(AR47:AU47)</f>
        <v/>
      </c>
      <c r="AW47" s="13" t="n"/>
      <c r="AX47" s="13" t="n"/>
      <c r="AY47" s="13" t="n"/>
      <c r="AZ47" s="13" t="n"/>
      <c r="BA47" s="14">
        <f>SUM(AW47:AZ47)</f>
        <v/>
      </c>
      <c r="BB47" s="13" t="n"/>
    </row>
    <row r="48">
      <c r="B48" s="12" t="inlineStr">
        <is>
          <t>(=) Total capex</t>
        </is>
      </c>
      <c r="C48" s="6" t="inlineStr">
        <is>
          <t>USD mn</t>
        </is>
      </c>
      <c r="D48" s="19">
        <f>SUM(D40:D47)</f>
        <v/>
      </c>
      <c r="E48" s="19">
        <f>SUM(E40:E47)</f>
        <v/>
      </c>
      <c r="F48" s="19">
        <f>SUM(F40:F47)</f>
        <v/>
      </c>
      <c r="G48" s="19">
        <f>SUM(G40:G47)</f>
        <v/>
      </c>
      <c r="H48" s="14">
        <f>SUM(H40:H47)</f>
        <v/>
      </c>
      <c r="I48" s="19">
        <f>SUM(I40:I47)</f>
        <v/>
      </c>
      <c r="J48" s="19">
        <f>SUM(J40:J47)</f>
        <v/>
      </c>
      <c r="K48" s="19">
        <f>SUM(K40:K47)</f>
        <v/>
      </c>
      <c r="L48" s="19">
        <f>SUM(L40:L47)</f>
        <v/>
      </c>
      <c r="M48" s="14">
        <f>SUM(M40:M47)</f>
        <v/>
      </c>
      <c r="N48" s="19">
        <f>SUM(N40:N47)</f>
        <v/>
      </c>
      <c r="O48" s="19">
        <f>SUM(O40:O47)</f>
        <v/>
      </c>
      <c r="P48" s="19">
        <f>SUM(P40:P47)</f>
        <v/>
      </c>
      <c r="Q48" s="19">
        <f>SUM(Q40:Q47)</f>
        <v/>
      </c>
      <c r="R48" s="14">
        <f>SUM(R40:R47)</f>
        <v/>
      </c>
      <c r="S48" s="19">
        <f>SUM(S40:S47)</f>
        <v/>
      </c>
      <c r="T48" s="19">
        <f>SUM(T40:T47)</f>
        <v/>
      </c>
      <c r="U48" s="19">
        <f>SUM(U40:U47)</f>
        <v/>
      </c>
      <c r="V48" s="19">
        <f>SUM(V40:V47)</f>
        <v/>
      </c>
      <c r="W48" s="14">
        <f>SUM(W40:W47)</f>
        <v/>
      </c>
      <c r="X48" s="19">
        <f>SUM(X40:X47)</f>
        <v/>
      </c>
      <c r="Y48" s="19">
        <f>SUM(Y40:Y47)</f>
        <v/>
      </c>
      <c r="Z48" s="19">
        <f>SUM(Z40:Z47)</f>
        <v/>
      </c>
      <c r="AA48" s="19">
        <f>SUM(AA40:AA47)</f>
        <v/>
      </c>
      <c r="AB48" s="14">
        <f>SUM(AB40:AB47)</f>
        <v/>
      </c>
      <c r="AC48" s="19">
        <f>SUM(AC40:AC47)</f>
        <v/>
      </c>
      <c r="AD48" s="19">
        <f>SUM(AD40:AD47)</f>
        <v/>
      </c>
      <c r="AE48" s="19">
        <f>SUM(AE40:AE47)</f>
        <v/>
      </c>
      <c r="AF48" s="19">
        <f>SUM(AF40:AF47)</f>
        <v/>
      </c>
      <c r="AG48" s="14">
        <f>SUM(AG40:AG47)</f>
        <v/>
      </c>
      <c r="AH48" s="19">
        <f>SUM(AH40:AH47)</f>
        <v/>
      </c>
      <c r="AI48" s="19">
        <f>SUM(AI40:AI47)</f>
        <v/>
      </c>
      <c r="AJ48" s="19">
        <f>SUM(AJ40:AJ47)</f>
        <v/>
      </c>
      <c r="AK48" s="19">
        <f>SUM(AK40:AK47)</f>
        <v/>
      </c>
      <c r="AL48" s="14">
        <f>SUM(AL40:AL47)</f>
        <v/>
      </c>
      <c r="AM48" s="19">
        <f>SUM(AM40:AM47)</f>
        <v/>
      </c>
      <c r="AN48" s="19">
        <f>SUM(AN40:AN47)</f>
        <v/>
      </c>
      <c r="AO48" s="19">
        <f>SUM(AO40:AO47)</f>
        <v/>
      </c>
      <c r="AP48" s="19">
        <f>SUM(AP40:AP47)</f>
        <v/>
      </c>
      <c r="AQ48" s="14">
        <f>SUM(AQ40:AQ47)</f>
        <v/>
      </c>
      <c r="AR48" s="19">
        <f>SUM(AR40:AR47)</f>
        <v/>
      </c>
      <c r="AS48" s="19">
        <f>SUM(AS40:AS47)</f>
        <v/>
      </c>
      <c r="AT48" s="19">
        <f>SUM(AT40:AT47)</f>
        <v/>
      </c>
      <c r="AU48" s="19">
        <f>SUM(AU40:AU47)</f>
        <v/>
      </c>
      <c r="AV48" s="14">
        <f>SUM(AV40:AV47)</f>
        <v/>
      </c>
      <c r="AW48" s="19">
        <f>SUM(AW40:AW47)</f>
        <v/>
      </c>
      <c r="AX48" s="19">
        <f>SUM(AX40:AX47)</f>
        <v/>
      </c>
      <c r="AY48" s="19">
        <f>SUM(AY40:AY47)</f>
        <v/>
      </c>
      <c r="AZ48" s="19">
        <f>SUM(AZ40:AZ47)</f>
        <v/>
      </c>
      <c r="BA48" s="14">
        <f>SUM(BA40:BA47)</f>
        <v/>
      </c>
      <c r="BB48" s="19">
        <f>SUM(BB40:BB47)</f>
        <v/>
      </c>
    </row>
    <row r="49"/>
    <row r="50">
      <c r="B50" s="10" t="inlineStr">
        <is>
          <t>CONSOLIDATED OPERATIONAL AND PRICES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</row>
    <row r="51">
      <c r="B51" s="12" t="inlineStr">
        <is>
          <t>Sales volume</t>
        </is>
      </c>
      <c r="C51" s="6" t="inlineStr">
        <is>
          <t>kboe</t>
        </is>
      </c>
      <c r="D51" s="13" t="n"/>
      <c r="E51" s="13" t="n"/>
      <c r="F51" s="13" t="n"/>
      <c r="G51" s="13" t="n"/>
      <c r="H51" s="14">
        <f>SUM(D51:G51)</f>
        <v/>
      </c>
      <c r="I51" s="13" t="n"/>
      <c r="J51" s="13" t="n"/>
      <c r="K51" s="13" t="n"/>
      <c r="L51" s="13" t="n"/>
      <c r="M51" s="14">
        <f>SUM(I51:L51)</f>
        <v/>
      </c>
      <c r="N51" s="13" t="n"/>
      <c r="O51" s="13" t="n"/>
      <c r="P51" s="13" t="n"/>
      <c r="Q51" s="13" t="n"/>
      <c r="R51" s="14">
        <f>SUM(N51:Q51)</f>
        <v/>
      </c>
      <c r="S51" s="13" t="n"/>
      <c r="T51" s="13" t="n"/>
      <c r="U51" s="13" t="n"/>
      <c r="V51" s="13" t="n"/>
      <c r="W51" s="14">
        <f>SUM(S51:V51)</f>
        <v/>
      </c>
      <c r="X51" s="13" t="n"/>
      <c r="Y51" s="13" t="n"/>
      <c r="Z51" s="13" t="n"/>
      <c r="AA51" s="13" t="n"/>
      <c r="AB51" s="14">
        <f>SUM(X51:AA51)</f>
        <v/>
      </c>
      <c r="AC51" s="13" t="n"/>
      <c r="AD51" s="13" t="n"/>
      <c r="AE51" s="13" t="n"/>
      <c r="AF51" s="13" t="n"/>
      <c r="AG51" s="14">
        <f>SUM(AC51:AF51)</f>
        <v/>
      </c>
      <c r="AH51" s="13" t="n"/>
      <c r="AI51" s="13" t="n"/>
      <c r="AJ51" s="13" t="n"/>
      <c r="AK51" s="13" t="n"/>
      <c r="AL51" s="14">
        <f>SUM(AH51:AK51)</f>
        <v/>
      </c>
      <c r="AM51" s="13" t="n">
        <v>8212.5</v>
      </c>
      <c r="AN51" s="13" t="n">
        <v>8294.625</v>
      </c>
      <c r="AO51" s="13" t="n">
        <v>8376.75</v>
      </c>
      <c r="AP51" s="13" t="n">
        <v>8458.875</v>
      </c>
      <c r="AQ51" s="14">
        <f>SUM(AM51:AP51)</f>
        <v/>
      </c>
      <c r="AR51" s="13" t="n">
        <v>8541</v>
      </c>
      <c r="AS51" s="13" t="n">
        <v>8623.125</v>
      </c>
      <c r="AT51" s="13" t="n">
        <v>8705.25</v>
      </c>
      <c r="AU51" s="13" t="n">
        <v>8787.375</v>
      </c>
      <c r="AV51" s="14">
        <f>SUM(AR51:AU51)</f>
        <v/>
      </c>
      <c r="AW51" s="13" t="n">
        <v>8869.5</v>
      </c>
      <c r="AX51" s="13" t="n">
        <v>8951.625</v>
      </c>
      <c r="AY51" s="13" t="n">
        <v>9033.75</v>
      </c>
      <c r="AZ51" s="13" t="n">
        <v>9115.875</v>
      </c>
      <c r="BA51" s="14">
        <f>SUM(AW51:AZ51)</f>
        <v/>
      </c>
      <c r="BB51" s="13" t="n">
        <v>9198</v>
      </c>
    </row>
    <row r="52">
      <c r="B52" s="12" t="inlineStr">
        <is>
          <t>Realized price</t>
        </is>
      </c>
      <c r="C52" s="6" t="inlineStr">
        <is>
          <t>USD/boe</t>
        </is>
      </c>
      <c r="D52" s="17" t="n"/>
      <c r="E52" s="17" t="n"/>
      <c r="F52" s="17" t="n"/>
      <c r="G52" s="17" t="n"/>
      <c r="H52" s="18">
        <f>IFERROR(AVERAGE(D52:G52),"-")</f>
        <v/>
      </c>
      <c r="I52" s="17" t="n"/>
      <c r="J52" s="17" t="n"/>
      <c r="K52" s="17" t="n"/>
      <c r="L52" s="17" t="n"/>
      <c r="M52" s="18">
        <f>IFERROR(AVERAGE(I52:L52),"-")</f>
        <v/>
      </c>
      <c r="N52" s="17" t="n"/>
      <c r="O52" s="17" t="n"/>
      <c r="P52" s="17" t="n"/>
      <c r="Q52" s="17" t="n"/>
      <c r="R52" s="18">
        <f>IFERROR(AVERAGE(N52:Q52),"-")</f>
        <v/>
      </c>
      <c r="S52" s="17" t="n"/>
      <c r="T52" s="17" t="n"/>
      <c r="U52" s="17" t="n"/>
      <c r="V52" s="17" t="n"/>
      <c r="W52" s="18">
        <f>IFERROR(AVERAGE(S52:V52),"-")</f>
        <v/>
      </c>
      <c r="X52" s="17" t="n"/>
      <c r="Y52" s="17" t="n"/>
      <c r="Z52" s="17" t="n"/>
      <c r="AA52" s="17" t="n"/>
      <c r="AB52" s="18">
        <f>IFERROR(AVERAGE(X52:AA52),"-")</f>
        <v/>
      </c>
      <c r="AC52" s="17" t="n"/>
      <c r="AD52" s="17" t="n"/>
      <c r="AE52" s="17" t="n"/>
      <c r="AF52" s="17" t="n"/>
      <c r="AG52" s="18">
        <f>IFERROR(AVERAGE(AC52:AF52),"-")</f>
        <v/>
      </c>
      <c r="AH52" s="17" t="n"/>
      <c r="AI52" s="17" t="n"/>
      <c r="AJ52" s="17" t="n"/>
      <c r="AK52" s="17" t="n"/>
      <c r="AL52" s="18">
        <f>IFERROR(AVERAGE(AH52:AK52),"-")</f>
        <v/>
      </c>
      <c r="AM52" s="17" t="n">
        <v>77</v>
      </c>
      <c r="AN52" s="17" t="n">
        <v>79</v>
      </c>
      <c r="AO52" s="17" t="n">
        <v>77</v>
      </c>
      <c r="AP52" s="17" t="n">
        <v>76</v>
      </c>
      <c r="AQ52" s="18">
        <f>IFERROR(AVERAGE(AM52:AP52),"-")</f>
        <v/>
      </c>
      <c r="AR52" s="17" t="n">
        <v>77</v>
      </c>
      <c r="AS52" s="17" t="n">
        <v>79</v>
      </c>
      <c r="AT52" s="17" t="n">
        <v>77</v>
      </c>
      <c r="AU52" s="17" t="n">
        <v>76</v>
      </c>
      <c r="AV52" s="18">
        <f>IFERROR(AVERAGE(AR52:AU52),"-")</f>
        <v/>
      </c>
      <c r="AW52" s="17" t="n">
        <v>77</v>
      </c>
      <c r="AX52" s="17" t="n">
        <v>79</v>
      </c>
      <c r="AY52" s="17" t="n">
        <v>77</v>
      </c>
      <c r="AZ52" s="17" t="n">
        <v>76</v>
      </c>
      <c r="BA52" s="18">
        <f>IFERROR(AVERAGE(AW52:AZ52),"-")</f>
        <v/>
      </c>
      <c r="BB52" s="17" t="n">
        <v>77</v>
      </c>
    </row>
    <row r="53">
      <c r="B53" s="12" t="inlineStr">
        <is>
          <t>Brent average</t>
        </is>
      </c>
      <c r="C53" s="6" t="inlineStr">
        <is>
          <t>USD/bbl</t>
        </is>
      </c>
      <c r="D53" s="17" t="n"/>
      <c r="E53" s="17" t="n"/>
      <c r="F53" s="17" t="n"/>
      <c r="G53" s="17" t="n"/>
      <c r="H53" s="18">
        <f>IFERROR(AVERAGE(D53:G53),"-")</f>
        <v/>
      </c>
      <c r="I53" s="17" t="n"/>
      <c r="J53" s="17" t="n"/>
      <c r="K53" s="17" t="n"/>
      <c r="L53" s="17" t="n"/>
      <c r="M53" s="18">
        <f>IFERROR(AVERAGE(I53:L53),"-")</f>
        <v/>
      </c>
      <c r="N53" s="17" t="n"/>
      <c r="O53" s="17" t="n"/>
      <c r="P53" s="17" t="n"/>
      <c r="Q53" s="17" t="n"/>
      <c r="R53" s="18">
        <f>IFERROR(AVERAGE(N53:Q53),"-")</f>
        <v/>
      </c>
      <c r="S53" s="17" t="n"/>
      <c r="T53" s="17" t="n"/>
      <c r="U53" s="17" t="n"/>
      <c r="V53" s="17" t="n"/>
      <c r="W53" s="18">
        <f>IFERROR(AVERAGE(S53:V53),"-")</f>
        <v/>
      </c>
      <c r="X53" s="17" t="n"/>
      <c r="Y53" s="17" t="n"/>
      <c r="Z53" s="17" t="n"/>
      <c r="AA53" s="17" t="n"/>
      <c r="AB53" s="18">
        <f>IFERROR(AVERAGE(X53:AA53),"-")</f>
        <v/>
      </c>
      <c r="AC53" s="17" t="n"/>
      <c r="AD53" s="17" t="n"/>
      <c r="AE53" s="17" t="n"/>
      <c r="AF53" s="17" t="n"/>
      <c r="AG53" s="18">
        <f>IFERROR(AVERAGE(AC53:AF53),"-")</f>
        <v/>
      </c>
      <c r="AH53" s="17" t="n"/>
      <c r="AI53" s="17" t="n"/>
      <c r="AJ53" s="17" t="n"/>
      <c r="AK53" s="17" t="n"/>
      <c r="AL53" s="18">
        <f>IFERROR(AVERAGE(AH53:AK53),"-")</f>
        <v/>
      </c>
      <c r="AM53" s="17" t="n">
        <v>80</v>
      </c>
      <c r="AN53" s="17" t="n">
        <v>82</v>
      </c>
      <c r="AO53" s="17" t="n">
        <v>80</v>
      </c>
      <c r="AP53" s="17" t="n">
        <v>79</v>
      </c>
      <c r="AQ53" s="18">
        <f>IFERROR(AVERAGE(AM53:AP53),"-")</f>
        <v/>
      </c>
      <c r="AR53" s="17" t="n">
        <v>80</v>
      </c>
      <c r="AS53" s="17" t="n">
        <v>82</v>
      </c>
      <c r="AT53" s="17" t="n">
        <v>80</v>
      </c>
      <c r="AU53" s="17" t="n">
        <v>79</v>
      </c>
      <c r="AV53" s="18">
        <f>IFERROR(AVERAGE(AR53:AU53),"-")</f>
        <v/>
      </c>
      <c r="AW53" s="17" t="n">
        <v>80</v>
      </c>
      <c r="AX53" s="17" t="n">
        <v>82</v>
      </c>
      <c r="AY53" s="17" t="n">
        <v>80</v>
      </c>
      <c r="AZ53" s="17" t="n">
        <v>79</v>
      </c>
      <c r="BA53" s="18">
        <f>IFERROR(AVERAGE(AW53:AZ53),"-")</f>
        <v/>
      </c>
      <c r="BB53" s="17" t="n">
        <v>80</v>
      </c>
    </row>
    <row r="54">
      <c r="B54" s="12" t="inlineStr">
        <is>
          <t>(=) Realized premium (discount) to Brent</t>
        </is>
      </c>
      <c r="C54" s="6" t="inlineStr">
        <is>
          <t>USD/bbl</t>
        </is>
      </c>
      <c r="D54" s="21">
        <f>IFERROR(D52-D53,"-")</f>
        <v/>
      </c>
      <c r="E54" s="21">
        <f>IFERROR(E52-E53,"-")</f>
        <v/>
      </c>
      <c r="F54" s="21">
        <f>IFERROR(F52-F53,"-")</f>
        <v/>
      </c>
      <c r="G54" s="21">
        <f>IFERROR(G52-G53,"-")</f>
        <v/>
      </c>
      <c r="H54" s="18">
        <f>IFERROR(H52-H53,"-")</f>
        <v/>
      </c>
      <c r="I54" s="21">
        <f>IFERROR(I52-I53,"-")</f>
        <v/>
      </c>
      <c r="J54" s="21">
        <f>IFERROR(J52-J53,"-")</f>
        <v/>
      </c>
      <c r="K54" s="21">
        <f>IFERROR(K52-K53,"-")</f>
        <v/>
      </c>
      <c r="L54" s="21">
        <f>IFERROR(L52-L53,"-")</f>
        <v/>
      </c>
      <c r="M54" s="18">
        <f>IFERROR(M52-M53,"-")</f>
        <v/>
      </c>
      <c r="N54" s="21">
        <f>IFERROR(N52-N53,"-")</f>
        <v/>
      </c>
      <c r="O54" s="21">
        <f>IFERROR(O52-O53,"-")</f>
        <v/>
      </c>
      <c r="P54" s="21">
        <f>IFERROR(P52-P53,"-")</f>
        <v/>
      </c>
      <c r="Q54" s="21">
        <f>IFERROR(Q52-Q53,"-")</f>
        <v/>
      </c>
      <c r="R54" s="18">
        <f>IFERROR(R52-R53,"-")</f>
        <v/>
      </c>
      <c r="S54" s="21">
        <f>IFERROR(S52-S53,"-")</f>
        <v/>
      </c>
      <c r="T54" s="21">
        <f>IFERROR(T52-T53,"-")</f>
        <v/>
      </c>
      <c r="U54" s="21">
        <f>IFERROR(U52-U53,"-")</f>
        <v/>
      </c>
      <c r="V54" s="21">
        <f>IFERROR(V52-V53,"-")</f>
        <v/>
      </c>
      <c r="W54" s="18">
        <f>IFERROR(W52-W53,"-")</f>
        <v/>
      </c>
      <c r="X54" s="21">
        <f>IFERROR(X52-X53,"-")</f>
        <v/>
      </c>
      <c r="Y54" s="21">
        <f>IFERROR(Y52-Y53,"-")</f>
        <v/>
      </c>
      <c r="Z54" s="21">
        <f>IFERROR(Z52-Z53,"-")</f>
        <v/>
      </c>
      <c r="AA54" s="21">
        <f>IFERROR(AA52-AA53,"-")</f>
        <v/>
      </c>
      <c r="AB54" s="18">
        <f>IFERROR(AB52-AB53,"-")</f>
        <v/>
      </c>
      <c r="AC54" s="21">
        <f>IFERROR(AC52-AC53,"-")</f>
        <v/>
      </c>
      <c r="AD54" s="21">
        <f>IFERROR(AD52-AD53,"-")</f>
        <v/>
      </c>
      <c r="AE54" s="21">
        <f>IFERROR(AE52-AE53,"-")</f>
        <v/>
      </c>
      <c r="AF54" s="21">
        <f>IFERROR(AF52-AF53,"-")</f>
        <v/>
      </c>
      <c r="AG54" s="18">
        <f>IFERROR(AG52-AG53,"-")</f>
        <v/>
      </c>
      <c r="AH54" s="21">
        <f>IFERROR(AH52-AH53,"-")</f>
        <v/>
      </c>
      <c r="AI54" s="21">
        <f>IFERROR(AI52-AI53,"-")</f>
        <v/>
      </c>
      <c r="AJ54" s="21">
        <f>IFERROR(AJ52-AJ53,"-")</f>
        <v/>
      </c>
      <c r="AK54" s="21">
        <f>IFERROR(AK52-AK53,"-")</f>
        <v/>
      </c>
      <c r="AL54" s="18">
        <f>IFERROR(AL52-AL53,"-")</f>
        <v/>
      </c>
      <c r="AM54" s="21">
        <f>IFERROR(AM52-AM53,"-")</f>
        <v/>
      </c>
      <c r="AN54" s="21">
        <f>IFERROR(AN52-AN53,"-")</f>
        <v/>
      </c>
      <c r="AO54" s="21">
        <f>IFERROR(AO52-AO53,"-")</f>
        <v/>
      </c>
      <c r="AP54" s="21">
        <f>IFERROR(AP52-AP53,"-")</f>
        <v/>
      </c>
      <c r="AQ54" s="18">
        <f>IFERROR(AQ52-AQ53,"-")</f>
        <v/>
      </c>
      <c r="AR54" s="21">
        <f>IFERROR(AR52-AR53,"-")</f>
        <v/>
      </c>
      <c r="AS54" s="21">
        <f>IFERROR(AS52-AS53,"-")</f>
        <v/>
      </c>
      <c r="AT54" s="21">
        <f>IFERROR(AT52-AT53,"-")</f>
        <v/>
      </c>
      <c r="AU54" s="21">
        <f>IFERROR(AU52-AU53,"-")</f>
        <v/>
      </c>
      <c r="AV54" s="18">
        <f>IFERROR(AV52-AV53,"-")</f>
        <v/>
      </c>
      <c r="AW54" s="21">
        <f>IFERROR(AW52-AW53,"-")</f>
        <v/>
      </c>
      <c r="AX54" s="21">
        <f>IFERROR(AX52-AX53,"-")</f>
        <v/>
      </c>
      <c r="AY54" s="21">
        <f>IFERROR(AY52-AY53,"-")</f>
        <v/>
      </c>
      <c r="AZ54" s="21">
        <f>IFERROR(AZ52-AZ53,"-")</f>
        <v/>
      </c>
      <c r="BA54" s="18">
        <f>IFERROR(BA52-BA53,"-")</f>
        <v/>
      </c>
      <c r="BB54" s="21">
        <f>IFERROR(BB52-BB53,"-")</f>
        <v/>
      </c>
    </row>
    <row r="55">
      <c r="B55" s="12" t="inlineStr">
        <is>
          <t>Royalties and government take</t>
        </is>
      </c>
      <c r="C55" s="6" t="inlineStr">
        <is>
          <t>USD mn</t>
        </is>
      </c>
      <c r="D55" s="13" t="n"/>
      <c r="E55" s="13" t="n"/>
      <c r="F55" s="13" t="n"/>
      <c r="G55" s="13" t="n"/>
      <c r="H55" s="14">
        <f>SUM(D55:G55)</f>
        <v/>
      </c>
      <c r="I55" s="13" t="n"/>
      <c r="J55" s="13" t="n"/>
      <c r="K55" s="13" t="n"/>
      <c r="L55" s="13" t="n"/>
      <c r="M55" s="14">
        <f>SUM(I55:L55)</f>
        <v/>
      </c>
      <c r="N55" s="13" t="n"/>
      <c r="O55" s="13" t="n"/>
      <c r="P55" s="13" t="n"/>
      <c r="Q55" s="13" t="n"/>
      <c r="R55" s="14">
        <f>SUM(N55:Q55)</f>
        <v/>
      </c>
      <c r="S55" s="13" t="n"/>
      <c r="T55" s="13" t="n"/>
      <c r="U55" s="13" t="n"/>
      <c r="V55" s="13" t="n"/>
      <c r="W55" s="14">
        <f>SUM(S55:V55)</f>
        <v/>
      </c>
      <c r="X55" s="13" t="n"/>
      <c r="Y55" s="13" t="n"/>
      <c r="Z55" s="13" t="n"/>
      <c r="AA55" s="13" t="n"/>
      <c r="AB55" s="14">
        <f>SUM(X55:AA55)</f>
        <v/>
      </c>
      <c r="AC55" s="13" t="n"/>
      <c r="AD55" s="13" t="n"/>
      <c r="AE55" s="13" t="n"/>
      <c r="AF55" s="13" t="n"/>
      <c r="AG55" s="14">
        <f>SUM(AC55:AF55)</f>
        <v/>
      </c>
      <c r="AH55" s="13" t="n"/>
      <c r="AI55" s="13" t="n"/>
      <c r="AJ55" s="13" t="n"/>
      <c r="AK55" s="13" t="n"/>
      <c r="AL55" s="14">
        <f>SUM(AH55:AK55)</f>
        <v/>
      </c>
      <c r="AM55" s="13" t="n">
        <v>63.2362</v>
      </c>
      <c r="AN55" s="13" t="n">
        <v>65.5275</v>
      </c>
      <c r="AO55" s="13" t="n">
        <v>64.501</v>
      </c>
      <c r="AP55" s="13" t="n">
        <v>64.28749999999999</v>
      </c>
      <c r="AQ55" s="14">
        <f>SUM(AM55:AP55)</f>
        <v/>
      </c>
      <c r="AR55" s="13" t="n">
        <v>65.7657</v>
      </c>
      <c r="AS55" s="13" t="n">
        <v>68.12269999999999</v>
      </c>
      <c r="AT55" s="13" t="n">
        <v>67.0304</v>
      </c>
      <c r="AU55" s="13" t="n">
        <v>66.7841</v>
      </c>
      <c r="AV55" s="14">
        <f>SUM(AR55:AU55)</f>
        <v/>
      </c>
      <c r="AW55" s="13" t="n">
        <v>68.29519999999999</v>
      </c>
      <c r="AX55" s="13" t="n">
        <v>70.7178</v>
      </c>
      <c r="AY55" s="13" t="n">
        <v>69.5599</v>
      </c>
      <c r="AZ55" s="13" t="n">
        <v>69.2807</v>
      </c>
      <c r="BA55" s="14">
        <f>SUM(AW55:AZ55)</f>
        <v/>
      </c>
      <c r="BB55" s="13" t="n">
        <v>70.8246</v>
      </c>
    </row>
    <row r="56">
      <c r="B56" s="12" t="inlineStr">
        <is>
          <t>BRL/USD — average</t>
        </is>
      </c>
      <c r="C56" s="6" t="inlineStr">
        <is>
          <t>BRL</t>
        </is>
      </c>
      <c r="D56" s="22" t="n"/>
      <c r="E56" s="22" t="n"/>
      <c r="F56" s="22" t="n"/>
      <c r="G56" s="22" t="n"/>
      <c r="H56" s="23">
        <f>IFERROR(AVERAGE(D56:G56),"-")</f>
        <v/>
      </c>
      <c r="I56" s="22" t="n"/>
      <c r="J56" s="22" t="n"/>
      <c r="K56" s="22" t="n"/>
      <c r="L56" s="22" t="n"/>
      <c r="M56" s="23">
        <f>IFERROR(AVERAGE(I56:L56),"-")</f>
        <v/>
      </c>
      <c r="N56" s="22" t="n"/>
      <c r="O56" s="22" t="n"/>
      <c r="P56" s="22" t="n"/>
      <c r="Q56" s="22" t="n"/>
      <c r="R56" s="23">
        <f>IFERROR(AVERAGE(N56:Q56),"-")</f>
        <v/>
      </c>
      <c r="S56" s="22" t="n"/>
      <c r="T56" s="22" t="n"/>
      <c r="U56" s="22" t="n"/>
      <c r="V56" s="22" t="n"/>
      <c r="W56" s="23">
        <f>IFERROR(AVERAGE(S56:V56),"-")</f>
        <v/>
      </c>
      <c r="X56" s="22" t="n"/>
      <c r="Y56" s="22" t="n"/>
      <c r="Z56" s="22" t="n"/>
      <c r="AA56" s="22" t="n"/>
      <c r="AB56" s="23">
        <f>IFERROR(AVERAGE(X56:AA56),"-")</f>
        <v/>
      </c>
      <c r="AC56" s="22" t="n"/>
      <c r="AD56" s="22" t="n"/>
      <c r="AE56" s="22" t="n"/>
      <c r="AF56" s="22" t="n"/>
      <c r="AG56" s="23">
        <f>IFERROR(AVERAGE(AC56:AF56),"-")</f>
        <v/>
      </c>
      <c r="AH56" s="22" t="n"/>
      <c r="AI56" s="22" t="n"/>
      <c r="AJ56" s="22" t="n"/>
      <c r="AK56" s="22" t="n"/>
      <c r="AL56" s="23">
        <f>IFERROR(AVERAGE(AH56:AK56),"-")</f>
        <v/>
      </c>
      <c r="AM56" s="22" t="n">
        <v>5.1</v>
      </c>
      <c r="AN56" s="22" t="n">
        <v>5.1</v>
      </c>
      <c r="AO56" s="22" t="n">
        <v>5.1</v>
      </c>
      <c r="AP56" s="22" t="n">
        <v>5.1</v>
      </c>
      <c r="AQ56" s="23">
        <f>IFERROR(AVERAGE(AM56:AP56),"-")</f>
        <v/>
      </c>
      <c r="AR56" s="22" t="n">
        <v>5.1</v>
      </c>
      <c r="AS56" s="22" t="n">
        <v>5.1</v>
      </c>
      <c r="AT56" s="22" t="n">
        <v>5.1</v>
      </c>
      <c r="AU56" s="22" t="n">
        <v>5.1</v>
      </c>
      <c r="AV56" s="23">
        <f>IFERROR(AVERAGE(AR56:AU56),"-")</f>
        <v/>
      </c>
      <c r="AW56" s="22" t="n">
        <v>5.1</v>
      </c>
      <c r="AX56" s="22" t="n">
        <v>5.1</v>
      </c>
      <c r="AY56" s="22" t="n">
        <v>5.1</v>
      </c>
      <c r="AZ56" s="22" t="n">
        <v>5.1</v>
      </c>
      <c r="BA56" s="23">
        <f>IFERROR(AVERAGE(AW56:AZ56),"-")</f>
        <v/>
      </c>
      <c r="BB56" s="22" t="n">
        <v>5.1</v>
      </c>
    </row>
    <row r="57">
      <c r="B57" s="12" t="inlineStr">
        <is>
          <t>BRL/USD — end of period</t>
        </is>
      </c>
      <c r="C57" s="6" t="inlineStr">
        <is>
          <t>BRL</t>
        </is>
      </c>
      <c r="D57" s="22" t="n"/>
      <c r="E57" s="22" t="n"/>
      <c r="F57" s="22" t="n"/>
      <c r="G57" s="22" t="n"/>
      <c r="H57" s="23">
        <f>G57</f>
        <v/>
      </c>
      <c r="I57" s="22" t="n"/>
      <c r="J57" s="22" t="n"/>
      <c r="K57" s="22" t="n"/>
      <c r="L57" s="22" t="n"/>
      <c r="M57" s="23">
        <f>L57</f>
        <v/>
      </c>
      <c r="N57" s="22" t="n"/>
      <c r="O57" s="22" t="n"/>
      <c r="P57" s="22" t="n"/>
      <c r="Q57" s="22" t="n"/>
      <c r="R57" s="23">
        <f>Q57</f>
        <v/>
      </c>
      <c r="S57" s="22" t="n"/>
      <c r="T57" s="22" t="n"/>
      <c r="U57" s="22" t="n"/>
      <c r="V57" s="22" t="n"/>
      <c r="W57" s="23">
        <f>V57</f>
        <v/>
      </c>
      <c r="X57" s="22" t="n"/>
      <c r="Y57" s="22" t="n"/>
      <c r="Z57" s="22" t="n"/>
      <c r="AA57" s="22" t="n"/>
      <c r="AB57" s="23">
        <f>AA57</f>
        <v/>
      </c>
      <c r="AC57" s="22" t="n"/>
      <c r="AD57" s="22" t="n"/>
      <c r="AE57" s="22" t="n"/>
      <c r="AF57" s="22" t="n"/>
      <c r="AG57" s="23">
        <f>AF57</f>
        <v/>
      </c>
      <c r="AH57" s="22" t="n"/>
      <c r="AI57" s="22" t="n"/>
      <c r="AJ57" s="22" t="n"/>
      <c r="AK57" s="22" t="n"/>
      <c r="AL57" s="23">
        <f>AK57</f>
        <v/>
      </c>
      <c r="AM57" s="22" t="n">
        <v>5.15</v>
      </c>
      <c r="AN57" s="22" t="n">
        <v>5.15</v>
      </c>
      <c r="AO57" s="22" t="n">
        <v>5.15</v>
      </c>
      <c r="AP57" s="22" t="n">
        <v>5.15</v>
      </c>
      <c r="AQ57" s="23">
        <f>AP57</f>
        <v/>
      </c>
      <c r="AR57" s="22" t="n">
        <v>5.15</v>
      </c>
      <c r="AS57" s="22" t="n">
        <v>5.15</v>
      </c>
      <c r="AT57" s="22" t="n">
        <v>5.15</v>
      </c>
      <c r="AU57" s="22" t="n">
        <v>5.15</v>
      </c>
      <c r="AV57" s="23">
        <f>AU57</f>
        <v/>
      </c>
      <c r="AW57" s="22" t="n">
        <v>5.15</v>
      </c>
      <c r="AX57" s="22" t="n">
        <v>5.15</v>
      </c>
      <c r="AY57" s="22" t="n">
        <v>5.15</v>
      </c>
      <c r="AZ57" s="22" t="n">
        <v>5.15</v>
      </c>
      <c r="BA57" s="23">
        <f>AZ57</f>
        <v/>
      </c>
      <c r="BB57" s="22" t="n">
        <v>5.15</v>
      </c>
    </row>
    <row r="58"/>
    <row r="59">
      <c r="B59" s="10" t="inlineStr">
        <is>
          <t>RESERVES (annual only, end of period)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</row>
    <row r="60">
      <c r="B60" s="12" t="inlineStr">
        <is>
          <t>Reserves 1P</t>
        </is>
      </c>
      <c r="C60" s="6" t="inlineStr">
        <is>
          <t>mmboe</t>
        </is>
      </c>
      <c r="D60" s="24" t="n"/>
      <c r="E60" s="24" t="n"/>
      <c r="F60" s="24" t="n"/>
      <c r="G60" s="24" t="n"/>
      <c r="H60" s="25" t="n"/>
      <c r="I60" s="24" t="n"/>
      <c r="J60" s="24" t="n"/>
      <c r="K60" s="24" t="n"/>
      <c r="L60" s="24" t="n"/>
      <c r="M60" s="25" t="n"/>
      <c r="N60" s="24" t="n"/>
      <c r="O60" s="24" t="n"/>
      <c r="P60" s="24" t="n"/>
      <c r="Q60" s="24" t="n"/>
      <c r="R60" s="25" t="n"/>
      <c r="S60" s="24" t="n"/>
      <c r="T60" s="24" t="n"/>
      <c r="U60" s="24" t="n"/>
      <c r="V60" s="24" t="n"/>
      <c r="W60" s="25" t="n"/>
      <c r="X60" s="24" t="n"/>
      <c r="Y60" s="24" t="n"/>
      <c r="Z60" s="24" t="n"/>
      <c r="AA60" s="24" t="n"/>
      <c r="AB60" s="25" t="n"/>
      <c r="AC60" s="24" t="n"/>
      <c r="AD60" s="24" t="n"/>
      <c r="AE60" s="24" t="n"/>
      <c r="AF60" s="24" t="n"/>
      <c r="AG60" s="25" t="n"/>
      <c r="AH60" s="24" t="n"/>
      <c r="AI60" s="24" t="n"/>
      <c r="AJ60" s="24" t="n"/>
      <c r="AK60" s="24" t="n"/>
      <c r="AL60" s="25" t="n"/>
      <c r="AM60" s="24" t="n"/>
      <c r="AN60" s="24" t="n"/>
      <c r="AO60" s="24" t="n"/>
      <c r="AP60" s="24" t="n"/>
      <c r="AQ60" s="25" t="n">
        <v>180</v>
      </c>
      <c r="AR60" s="24" t="n"/>
      <c r="AS60" s="24" t="n"/>
      <c r="AT60" s="24" t="n"/>
      <c r="AU60" s="24" t="n"/>
      <c r="AV60" s="25" t="n">
        <v>200</v>
      </c>
      <c r="AW60" s="24" t="n"/>
      <c r="AX60" s="24" t="n"/>
      <c r="AY60" s="24" t="n"/>
      <c r="AZ60" s="24" t="n"/>
      <c r="BA60" s="25" t="n">
        <v>220</v>
      </c>
      <c r="BB60" s="24" t="n"/>
    </row>
    <row r="61">
      <c r="B61" s="12" t="inlineStr">
        <is>
          <t>Reserves 2P</t>
        </is>
      </c>
      <c r="C61" s="6" t="inlineStr">
        <is>
          <t>mmboe</t>
        </is>
      </c>
      <c r="D61" s="24" t="n"/>
      <c r="E61" s="24" t="n"/>
      <c r="F61" s="24" t="n"/>
      <c r="G61" s="24" t="n"/>
      <c r="H61" s="25" t="n"/>
      <c r="I61" s="24" t="n"/>
      <c r="J61" s="24" t="n"/>
      <c r="K61" s="24" t="n"/>
      <c r="L61" s="24" t="n"/>
      <c r="M61" s="25" t="n"/>
      <c r="N61" s="24" t="n"/>
      <c r="O61" s="24" t="n"/>
      <c r="P61" s="24" t="n"/>
      <c r="Q61" s="24" t="n"/>
      <c r="R61" s="25" t="n"/>
      <c r="S61" s="24" t="n"/>
      <c r="T61" s="24" t="n"/>
      <c r="U61" s="24" t="n"/>
      <c r="V61" s="24" t="n"/>
      <c r="W61" s="25" t="n"/>
      <c r="X61" s="24" t="n"/>
      <c r="Y61" s="24" t="n"/>
      <c r="Z61" s="24" t="n"/>
      <c r="AA61" s="24" t="n"/>
      <c r="AB61" s="25" t="n"/>
      <c r="AC61" s="24" t="n"/>
      <c r="AD61" s="24" t="n"/>
      <c r="AE61" s="24" t="n"/>
      <c r="AF61" s="24" t="n"/>
      <c r="AG61" s="25" t="n"/>
      <c r="AH61" s="24" t="n"/>
      <c r="AI61" s="24" t="n"/>
      <c r="AJ61" s="24" t="n"/>
      <c r="AK61" s="24" t="n"/>
      <c r="AL61" s="25" t="n"/>
      <c r="AM61" s="24" t="n"/>
      <c r="AN61" s="24" t="n"/>
      <c r="AO61" s="24" t="n"/>
      <c r="AP61" s="24" t="n"/>
      <c r="AQ61" s="25" t="n">
        <v>320</v>
      </c>
      <c r="AR61" s="24" t="n"/>
      <c r="AS61" s="24" t="n"/>
      <c r="AT61" s="24" t="n"/>
      <c r="AU61" s="24" t="n"/>
      <c r="AV61" s="25" t="n">
        <v>340</v>
      </c>
      <c r="AW61" s="24" t="n"/>
      <c r="AX61" s="24" t="n"/>
      <c r="AY61" s="24" t="n"/>
      <c r="AZ61" s="24" t="n"/>
      <c r="BA61" s="25" t="n">
        <v>360</v>
      </c>
      <c r="BB61" s="24" t="n"/>
    </row>
    <row r="62">
      <c r="B62" s="12" t="inlineStr">
        <is>
          <t>Reserves 3P</t>
        </is>
      </c>
      <c r="C62" s="6" t="inlineStr">
        <is>
          <t>mmboe</t>
        </is>
      </c>
      <c r="D62" s="24" t="n"/>
      <c r="E62" s="24" t="n"/>
      <c r="F62" s="24" t="n"/>
      <c r="G62" s="24" t="n"/>
      <c r="H62" s="25" t="n"/>
      <c r="I62" s="24" t="n"/>
      <c r="J62" s="24" t="n"/>
      <c r="K62" s="24" t="n"/>
      <c r="L62" s="24" t="n"/>
      <c r="M62" s="25" t="n"/>
      <c r="N62" s="24" t="n"/>
      <c r="O62" s="24" t="n"/>
      <c r="P62" s="24" t="n"/>
      <c r="Q62" s="24" t="n"/>
      <c r="R62" s="25" t="n"/>
      <c r="S62" s="24" t="n"/>
      <c r="T62" s="24" t="n"/>
      <c r="U62" s="24" t="n"/>
      <c r="V62" s="24" t="n"/>
      <c r="W62" s="25" t="n"/>
      <c r="X62" s="24" t="n"/>
      <c r="Y62" s="24" t="n"/>
      <c r="Z62" s="24" t="n"/>
      <c r="AA62" s="24" t="n"/>
      <c r="AB62" s="25" t="n"/>
      <c r="AC62" s="24" t="n"/>
      <c r="AD62" s="24" t="n"/>
      <c r="AE62" s="24" t="n"/>
      <c r="AF62" s="24" t="n"/>
      <c r="AG62" s="25" t="n"/>
      <c r="AH62" s="24" t="n"/>
      <c r="AI62" s="24" t="n"/>
      <c r="AJ62" s="24" t="n"/>
      <c r="AK62" s="24" t="n"/>
      <c r="AL62" s="25" t="n"/>
      <c r="AM62" s="24" t="n"/>
      <c r="AN62" s="24" t="n"/>
      <c r="AO62" s="24" t="n"/>
      <c r="AP62" s="24" t="n"/>
      <c r="AQ62" s="25" t="n">
        <v>420</v>
      </c>
      <c r="AR62" s="24" t="n"/>
      <c r="AS62" s="24" t="n"/>
      <c r="AT62" s="24" t="n"/>
      <c r="AU62" s="24" t="n"/>
      <c r="AV62" s="25" t="n">
        <v>450</v>
      </c>
      <c r="AW62" s="24" t="n"/>
      <c r="AX62" s="24" t="n"/>
      <c r="AY62" s="24" t="n"/>
      <c r="AZ62" s="24" t="n"/>
      <c r="BA62" s="25" t="n">
        <v>470</v>
      </c>
      <c r="BB62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B1:M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2" max="2"/>
    <col width="11" customWidth="1" min="3" max="3"/>
    <col width="16" customWidth="1" min="4" max="4"/>
    <col width="34" customWidth="1" min="5" max="5"/>
    <col width="12" customWidth="1" min="6" max="6"/>
    <col width="24" customWidth="1" min="7" max="7"/>
    <col width="22" customWidth="1" min="8" max="8"/>
    <col width="34" customWidth="1" min="9" max="9"/>
    <col width="12" customWidth="1" min="10" max="10"/>
    <col width="50" customWidth="1" min="11" max="11"/>
    <col width="12" customWidth="1" min="12" max="12"/>
    <col width="12" customWidth="1" min="13" max="13"/>
  </cols>
  <sheetData>
    <row r="1">
      <c r="B1" s="5" t="inlineStr">
        <is>
          <t>Assumptions log — assumptions proposed by the AI and decided by the user</t>
        </is>
      </c>
    </row>
    <row r="2">
      <c r="B2" s="6" t="inlineStr">
        <is>
          <t>Nothing enters the model without approval. Every row records method, source with date and rationale. An estimate is never presented as reported data.</t>
        </is>
      </c>
    </row>
    <row r="4">
      <c r="B4" s="10" t="inlineStr">
        <is>
          <t>ID</t>
        </is>
      </c>
      <c r="C4" s="10" t="inlineStr">
        <is>
          <t>Date</t>
        </is>
      </c>
      <c r="D4" s="10" t="inlineStr">
        <is>
          <t>Tab</t>
        </is>
      </c>
      <c r="E4" s="10" t="inlineStr">
        <is>
          <t>Line item</t>
        </is>
      </c>
      <c r="F4" s="10" t="inlineStr">
        <is>
          <t>Period(s)</t>
        </is>
      </c>
      <c r="G4" s="10" t="inlineStr">
        <is>
          <t>Proposed value / formula</t>
        </is>
      </c>
      <c r="H4" s="10" t="inlineStr">
        <is>
          <t>Method</t>
        </is>
      </c>
      <c r="I4" s="10" t="inlineStr">
        <is>
          <t>Source (link)</t>
        </is>
      </c>
      <c r="J4" s="10" t="inlineStr">
        <is>
          <t>Source date</t>
        </is>
      </c>
      <c r="K4" s="10" t="inlineStr">
        <is>
          <t>Rationale</t>
        </is>
      </c>
      <c r="L4" s="10" t="inlineStr">
        <is>
          <t>Status</t>
        </is>
      </c>
      <c r="M4" s="10" t="inlineStr">
        <is>
          <t>Decided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2026-06-12T20:08:57Z</dcterms:created>
  <dcterms:modified xmlns:dcterms="http://purl.org/dc/terms/" xmlns:xsi="http://www.w3.org/2001/XMLSchema-instance" xsi:type="dcterms:W3CDTF">2026-06-12T20:08:58Z</dcterms:modified>
</cp:coreProperties>
</file>